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iuser3\Downloads\"/>
    </mc:Choice>
  </mc:AlternateContent>
  <xr:revisionPtr revIDLastSave="0" documentId="13_ncr:1_{7909C354-7D48-472F-A208-1BD8AC2EB05F}" xr6:coauthVersionLast="47" xr6:coauthVersionMax="47" xr10:uidLastSave="{00000000-0000-0000-0000-000000000000}"/>
  <bookViews>
    <workbookView xWindow="-108" yWindow="-108" windowWidth="23256" windowHeight="13896" firstSheet="19" activeTab="21" xr2:uid="{00000000-000D-0000-FFFF-FFFF00000000}"/>
  </bookViews>
  <sheets>
    <sheet name="01-05-26" sheetId="1" r:id="rId1"/>
    <sheet name="02-05-26" sheetId="2" r:id="rId2"/>
    <sheet name="03-05-26" sheetId="3" r:id="rId3"/>
    <sheet name="04-05-26" sheetId="4" r:id="rId4"/>
    <sheet name="05-05-26" sheetId="5" r:id="rId5"/>
    <sheet name="06-05-26" sheetId="6" r:id="rId6"/>
    <sheet name="07-05-26" sheetId="7" r:id="rId7"/>
    <sheet name="08-05-26" sheetId="8" r:id="rId8"/>
    <sheet name="09-05-26" sheetId="9" r:id="rId9"/>
    <sheet name="10-05-26 " sheetId="11" r:id="rId10"/>
    <sheet name="11-05-26" sheetId="13" r:id="rId11"/>
    <sheet name="12-05-26 " sheetId="15" r:id="rId12"/>
    <sheet name="13-05-26" sheetId="16" r:id="rId13"/>
    <sheet name="14-05-26" sheetId="17" r:id="rId14"/>
    <sheet name="15-05-26" sheetId="18" r:id="rId15"/>
    <sheet name="16-05-26" sheetId="19" r:id="rId16"/>
    <sheet name="17-05-26" sheetId="20" r:id="rId17"/>
    <sheet name="18-05-26" sheetId="21" r:id="rId18"/>
    <sheet name="19-05-26" sheetId="23" r:id="rId19"/>
    <sheet name="20-05-26" sheetId="24" r:id="rId20"/>
    <sheet name="21-05-26" sheetId="25" r:id="rId21"/>
    <sheet name="22-05-26" sheetId="26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3" i="25" l="1"/>
  <c r="I17" i="26" l="1"/>
  <c r="I16" i="26"/>
  <c r="O42" i="26"/>
  <c r="O39" i="26"/>
  <c r="L39" i="26"/>
  <c r="N38" i="26"/>
  <c r="N37" i="26"/>
  <c r="N36" i="26"/>
  <c r="O33" i="26"/>
  <c r="O27" i="26"/>
  <c r="I19" i="26"/>
  <c r="I33" i="26" s="1"/>
  <c r="O18" i="26"/>
  <c r="O15" i="26"/>
  <c r="O6" i="26"/>
  <c r="O45" i="26" l="1"/>
  <c r="O12" i="26"/>
  <c r="L12" i="26"/>
  <c r="I19" i="25"/>
  <c r="I18" i="25"/>
  <c r="I21" i="25"/>
  <c r="I23" i="25"/>
  <c r="I25" i="25"/>
  <c r="I27" i="25"/>
  <c r="I29" i="25"/>
  <c r="I31" i="25"/>
  <c r="O15" i="24"/>
  <c r="I33" i="25" l="1"/>
  <c r="O42" i="25" l="1"/>
  <c r="O39" i="25"/>
  <c r="L39" i="25"/>
  <c r="N38" i="25"/>
  <c r="N37" i="25"/>
  <c r="N36" i="25"/>
  <c r="O27" i="25"/>
  <c r="O18" i="25"/>
  <c r="O15" i="25"/>
  <c r="O6" i="25"/>
  <c r="I32" i="24" l="1"/>
  <c r="I23" i="24"/>
  <c r="I25" i="24"/>
  <c r="I27" i="24"/>
  <c r="I29" i="24"/>
  <c r="I31" i="24"/>
  <c r="L12" i="25" l="1"/>
  <c r="O12" i="25"/>
  <c r="O45" i="25"/>
  <c r="I19" i="23"/>
  <c r="I19" i="24" l="1"/>
  <c r="I21" i="24"/>
  <c r="O42" i="24"/>
  <c r="O39" i="24"/>
  <c r="L39" i="24"/>
  <c r="N38" i="24"/>
  <c r="N37" i="24"/>
  <c r="N36" i="24"/>
  <c r="O33" i="24"/>
  <c r="O27" i="24"/>
  <c r="O18" i="24"/>
  <c r="I17" i="24"/>
  <c r="I16" i="24"/>
  <c r="O6" i="24"/>
  <c r="O15" i="23"/>
  <c r="I33" i="24" l="1"/>
  <c r="O6" i="23"/>
  <c r="O12" i="24" l="1"/>
  <c r="L12" i="24"/>
  <c r="O45" i="24"/>
  <c r="O42" i="23"/>
  <c r="O39" i="23"/>
  <c r="L39" i="23"/>
  <c r="N38" i="23"/>
  <c r="N37" i="23"/>
  <c r="N36" i="23"/>
  <c r="O33" i="23"/>
  <c r="O27" i="23"/>
  <c r="O18" i="23"/>
  <c r="I17" i="23"/>
  <c r="I16" i="23"/>
  <c r="I33" i="23" s="1"/>
  <c r="O45" i="23" l="1"/>
  <c r="O12" i="23"/>
  <c r="L12" i="23"/>
  <c r="O42" i="21" l="1"/>
  <c r="O39" i="21"/>
  <c r="L39" i="21"/>
  <c r="N38" i="21"/>
  <c r="N37" i="21"/>
  <c r="N36" i="21"/>
  <c r="O33" i="21"/>
  <c r="O27" i="21"/>
  <c r="O18" i="21"/>
  <c r="I17" i="21"/>
  <c r="I16" i="21"/>
  <c r="O15" i="21"/>
  <c r="O6" i="21"/>
  <c r="I33" i="21" l="1"/>
  <c r="I25" i="20"/>
  <c r="I23" i="20"/>
  <c r="I21" i="20"/>
  <c r="I19" i="20"/>
  <c r="L12" i="21" l="1"/>
  <c r="O45" i="21"/>
  <c r="O12" i="21"/>
  <c r="O42" i="20" l="1"/>
  <c r="O39" i="20"/>
  <c r="L39" i="20"/>
  <c r="N38" i="20"/>
  <c r="N37" i="20"/>
  <c r="N36" i="20"/>
  <c r="O33" i="20"/>
  <c r="O27" i="20"/>
  <c r="O18" i="20"/>
  <c r="I17" i="20"/>
  <c r="I16" i="20"/>
  <c r="I33" i="20" s="1"/>
  <c r="O15" i="20"/>
  <c r="O6" i="20"/>
  <c r="L12" i="20" l="1"/>
  <c r="O45" i="20"/>
  <c r="O12" i="20"/>
  <c r="O42" i="19" l="1"/>
  <c r="O39" i="19"/>
  <c r="L39" i="19"/>
  <c r="N38" i="19"/>
  <c r="N37" i="19"/>
  <c r="N36" i="19"/>
  <c r="O33" i="19"/>
  <c r="O27" i="19"/>
  <c r="O18" i="19"/>
  <c r="I17" i="19"/>
  <c r="I16" i="19"/>
  <c r="I33" i="19" s="1"/>
  <c r="O15" i="19"/>
  <c r="O6" i="19"/>
  <c r="I21" i="18" l="1"/>
  <c r="I19" i="18"/>
  <c r="O45" i="19" l="1"/>
  <c r="O12" i="19"/>
  <c r="L12" i="19"/>
  <c r="O42" i="18"/>
  <c r="O39" i="18"/>
  <c r="L39" i="18"/>
  <c r="N38" i="18"/>
  <c r="N37" i="18"/>
  <c r="N36" i="18"/>
  <c r="O33" i="18"/>
  <c r="O27" i="18"/>
  <c r="O18" i="18"/>
  <c r="I17" i="18"/>
  <c r="I16" i="18"/>
  <c r="O15" i="18"/>
  <c r="O6" i="18"/>
  <c r="I33" i="18" l="1"/>
  <c r="O12" i="18" l="1"/>
  <c r="O45" i="18"/>
  <c r="L12" i="18"/>
  <c r="O42" i="17"/>
  <c r="O39" i="17"/>
  <c r="L39" i="17"/>
  <c r="N38" i="17"/>
  <c r="N37" i="17"/>
  <c r="N36" i="17"/>
  <c r="O33" i="17"/>
  <c r="O27" i="17"/>
  <c r="O18" i="17"/>
  <c r="I17" i="17"/>
  <c r="I16" i="17"/>
  <c r="O15" i="17"/>
  <c r="O6" i="17"/>
  <c r="I33" i="17" l="1"/>
  <c r="L12" i="17" l="1"/>
  <c r="O12" i="17"/>
  <c r="O45" i="17"/>
  <c r="O42" i="16" l="1"/>
  <c r="O39" i="16"/>
  <c r="L39" i="16"/>
  <c r="N38" i="16"/>
  <c r="N37" i="16"/>
  <c r="N36" i="16"/>
  <c r="O33" i="16"/>
  <c r="O27" i="16"/>
  <c r="I21" i="16"/>
  <c r="I19" i="16"/>
  <c r="O18" i="16"/>
  <c r="I17" i="16"/>
  <c r="I16" i="16"/>
  <c r="O15" i="16"/>
  <c r="O6" i="16"/>
  <c r="I33" i="16" l="1"/>
  <c r="O45" i="16" s="1"/>
  <c r="O12" i="16" l="1"/>
  <c r="L12" i="16"/>
  <c r="I23" i="15"/>
  <c r="I25" i="15"/>
  <c r="O42" i="15" l="1"/>
  <c r="O39" i="15"/>
  <c r="L39" i="15"/>
  <c r="N38" i="15"/>
  <c r="N37" i="15"/>
  <c r="N36" i="15"/>
  <c r="O33" i="15"/>
  <c r="O27" i="15"/>
  <c r="I21" i="15"/>
  <c r="I19" i="15"/>
  <c r="O18" i="15"/>
  <c r="I17" i="15"/>
  <c r="I16" i="15"/>
  <c r="O15" i="15"/>
  <c r="O6" i="15"/>
  <c r="I33" i="15" l="1"/>
  <c r="L12" i="15" l="1"/>
  <c r="O12" i="15"/>
  <c r="O45" i="15"/>
  <c r="O42" i="13" l="1"/>
  <c r="O39" i="13"/>
  <c r="L39" i="13"/>
  <c r="N38" i="13"/>
  <c r="N37" i="13"/>
  <c r="N36" i="13"/>
  <c r="O33" i="13"/>
  <c r="O27" i="13"/>
  <c r="I21" i="13"/>
  <c r="I19" i="13"/>
  <c r="O18" i="13"/>
  <c r="I17" i="13"/>
  <c r="I16" i="13"/>
  <c r="O15" i="13"/>
  <c r="O6" i="13"/>
  <c r="I33" i="13" l="1"/>
  <c r="L12" i="13" l="1"/>
  <c r="O12" i="13"/>
  <c r="O45" i="13"/>
  <c r="O42" i="11"/>
  <c r="O39" i="11"/>
  <c r="L39" i="11"/>
  <c r="N38" i="11"/>
  <c r="N37" i="11"/>
  <c r="N36" i="11"/>
  <c r="O33" i="11"/>
  <c r="O27" i="11"/>
  <c r="I23" i="11"/>
  <c r="I21" i="11"/>
  <c r="I19" i="11"/>
  <c r="O18" i="11"/>
  <c r="I17" i="11"/>
  <c r="I16" i="11"/>
  <c r="O15" i="11"/>
  <c r="O6" i="11"/>
  <c r="I33" i="11" l="1"/>
  <c r="O12" i="11" s="1"/>
  <c r="I23" i="9"/>
  <c r="O45" i="11" l="1"/>
  <c r="L12" i="11"/>
  <c r="O42" i="9"/>
  <c r="O39" i="9"/>
  <c r="L39" i="9"/>
  <c r="N38" i="9"/>
  <c r="N37" i="9"/>
  <c r="N36" i="9"/>
  <c r="O33" i="9"/>
  <c r="O27" i="9"/>
  <c r="I21" i="9"/>
  <c r="I19" i="9"/>
  <c r="O18" i="9"/>
  <c r="I17" i="9"/>
  <c r="I16" i="9"/>
  <c r="O15" i="9"/>
  <c r="O6" i="9"/>
  <c r="I33" i="9" l="1"/>
  <c r="I19" i="7"/>
  <c r="I21" i="7"/>
  <c r="O42" i="8"/>
  <c r="O39" i="8"/>
  <c r="L39" i="8"/>
  <c r="N38" i="8"/>
  <c r="N37" i="8"/>
  <c r="N36" i="8"/>
  <c r="O33" i="8"/>
  <c r="O27" i="8"/>
  <c r="I21" i="8"/>
  <c r="I19" i="8"/>
  <c r="O18" i="8"/>
  <c r="I17" i="8"/>
  <c r="I16" i="8"/>
  <c r="O15" i="8"/>
  <c r="O6" i="8"/>
  <c r="O45" i="9" l="1"/>
  <c r="O12" i="9"/>
  <c r="L12" i="9"/>
  <c r="I33" i="8"/>
  <c r="O45" i="8" s="1"/>
  <c r="L12" i="8" l="1"/>
  <c r="O12" i="8"/>
  <c r="O6" i="7" l="1"/>
  <c r="O42" i="7" l="1"/>
  <c r="O39" i="7"/>
  <c r="L39" i="7"/>
  <c r="N38" i="7"/>
  <c r="N37" i="7"/>
  <c r="N36" i="7"/>
  <c r="O33" i="7"/>
  <c r="O27" i="7"/>
  <c r="O18" i="7"/>
  <c r="I17" i="7"/>
  <c r="I16" i="7"/>
  <c r="O15" i="7"/>
  <c r="I33" i="7" l="1"/>
  <c r="O42" i="6"/>
  <c r="O39" i="6"/>
  <c r="L39" i="6"/>
  <c r="N38" i="6"/>
  <c r="N37" i="6"/>
  <c r="N36" i="6"/>
  <c r="O33" i="6"/>
  <c r="O27" i="6"/>
  <c r="I21" i="6"/>
  <c r="I19" i="6"/>
  <c r="O18" i="6"/>
  <c r="I17" i="6"/>
  <c r="I16" i="6"/>
  <c r="O15" i="6"/>
  <c r="O6" i="6"/>
  <c r="O45" i="7" l="1"/>
  <c r="L12" i="7"/>
  <c r="O12" i="7"/>
  <c r="I33" i="6"/>
  <c r="O12" i="6" s="1"/>
  <c r="L12" i="6"/>
  <c r="I21" i="5"/>
  <c r="I19" i="5"/>
  <c r="O45" i="6" l="1"/>
  <c r="O42" i="5"/>
  <c r="O39" i="5"/>
  <c r="L39" i="5"/>
  <c r="N38" i="5"/>
  <c r="N37" i="5"/>
  <c r="N36" i="5"/>
  <c r="O33" i="5"/>
  <c r="O27" i="5"/>
  <c r="O18" i="5"/>
  <c r="I17" i="5"/>
  <c r="I16" i="5"/>
  <c r="I33" i="5" s="1"/>
  <c r="O12" i="5" s="1"/>
  <c r="O15" i="5"/>
  <c r="O6" i="5"/>
  <c r="O45" i="5" l="1"/>
  <c r="L12" i="5"/>
  <c r="O42" i="4" l="1"/>
  <c r="O39" i="4"/>
  <c r="L39" i="4"/>
  <c r="N38" i="4"/>
  <c r="N37" i="4"/>
  <c r="N36" i="4"/>
  <c r="O33" i="4"/>
  <c r="O27" i="4"/>
  <c r="O18" i="4"/>
  <c r="I17" i="4"/>
  <c r="I16" i="4"/>
  <c r="O15" i="4"/>
  <c r="O6" i="4"/>
  <c r="I33" i="4" l="1"/>
  <c r="L12" i="4" s="1"/>
  <c r="I25" i="3"/>
  <c r="I23" i="3"/>
  <c r="O12" i="4" l="1"/>
  <c r="O45" i="4"/>
  <c r="O42" i="3" l="1"/>
  <c r="O39" i="3"/>
  <c r="L39" i="3"/>
  <c r="N38" i="3"/>
  <c r="N37" i="3"/>
  <c r="N36" i="3"/>
  <c r="O33" i="3"/>
  <c r="O27" i="3"/>
  <c r="I21" i="3"/>
  <c r="I19" i="3"/>
  <c r="O18" i="3"/>
  <c r="I17" i="3"/>
  <c r="I16" i="3"/>
  <c r="O15" i="3"/>
  <c r="O6" i="3"/>
  <c r="I33" i="3" l="1"/>
  <c r="L7" i="2"/>
  <c r="L7" i="3" s="1"/>
  <c r="L7" i="4" s="1"/>
  <c r="L7" i="5" s="1"/>
  <c r="L7" i="6" s="1"/>
  <c r="L7" i="7" s="1"/>
  <c r="L7" i="8" s="1"/>
  <c r="L7" i="9" s="1"/>
  <c r="L7" i="11" s="1"/>
  <c r="L7" i="13" s="1"/>
  <c r="L7" i="15" s="1"/>
  <c r="L7" i="16" s="1"/>
  <c r="L7" i="17" s="1"/>
  <c r="L7" i="18" s="1"/>
  <c r="L7" i="19" s="1"/>
  <c r="L7" i="20" s="1"/>
  <c r="L7" i="21" s="1"/>
  <c r="L7" i="23" s="1"/>
  <c r="L7" i="24" s="1"/>
  <c r="L7" i="25" s="1"/>
  <c r="L7" i="26" s="1"/>
  <c r="O45" i="3" l="1"/>
  <c r="L12" i="3"/>
  <c r="O12" i="3"/>
  <c r="L13" i="1"/>
  <c r="L46" i="2"/>
  <c r="L46" i="3" s="1"/>
  <c r="L46" i="4" s="1"/>
  <c r="L43" i="2"/>
  <c r="L43" i="3" s="1"/>
  <c r="M38" i="2"/>
  <c r="M38" i="3" s="1"/>
  <c r="M37" i="2"/>
  <c r="M37" i="3" s="1"/>
  <c r="M36" i="2"/>
  <c r="M36" i="3" s="1"/>
  <c r="L34" i="2"/>
  <c r="L34" i="3" s="1"/>
  <c r="L31" i="2"/>
  <c r="L31" i="3" s="1"/>
  <c r="L31" i="4" s="1"/>
  <c r="L31" i="5" s="1"/>
  <c r="L31" i="6" s="1"/>
  <c r="L31" i="7" s="1"/>
  <c r="L31" i="8" s="1"/>
  <c r="L31" i="9" s="1"/>
  <c r="L31" i="11" s="1"/>
  <c r="L31" i="13" s="1"/>
  <c r="L31" i="15" s="1"/>
  <c r="L31" i="16" s="1"/>
  <c r="L31" i="17" s="1"/>
  <c r="L31" i="18" s="1"/>
  <c r="L31" i="19" s="1"/>
  <c r="L31" i="20" s="1"/>
  <c r="L31" i="21" s="1"/>
  <c r="L31" i="23" s="1"/>
  <c r="L31" i="24" s="1"/>
  <c r="L31" i="25" s="1"/>
  <c r="L31" i="26" s="1"/>
  <c r="L28" i="2"/>
  <c r="L28" i="3" s="1"/>
  <c r="L25" i="2"/>
  <c r="L25" i="3" s="1"/>
  <c r="L25" i="4" s="1"/>
  <c r="L25" i="5" s="1"/>
  <c r="L25" i="6" s="1"/>
  <c r="L25" i="7" s="1"/>
  <c r="L25" i="8" s="1"/>
  <c r="L25" i="9" s="1"/>
  <c r="O22" i="2"/>
  <c r="O22" i="3" s="1"/>
  <c r="O22" i="4" s="1"/>
  <c r="O22" i="5" s="1"/>
  <c r="O22" i="6" s="1"/>
  <c r="O22" i="7" s="1"/>
  <c r="O22" i="8" s="1"/>
  <c r="O22" i="9" s="1"/>
  <c r="O22" i="11" s="1"/>
  <c r="O22" i="13" s="1"/>
  <c r="O22" i="15" s="1"/>
  <c r="O22" i="16" s="1"/>
  <c r="O22" i="17" s="1"/>
  <c r="O22" i="18" s="1"/>
  <c r="O22" i="19" s="1"/>
  <c r="O22" i="20" s="1"/>
  <c r="O22" i="21" s="1"/>
  <c r="O22" i="23" s="1"/>
  <c r="O22" i="24" s="1"/>
  <c r="O22" i="25" s="1"/>
  <c r="O22" i="26" s="1"/>
  <c r="L22" i="2"/>
  <c r="L22" i="3" s="1"/>
  <c r="L22" i="4" s="1"/>
  <c r="L22" i="5" s="1"/>
  <c r="L22" i="6" s="1"/>
  <c r="L22" i="7" s="1"/>
  <c r="L22" i="8" s="1"/>
  <c r="L22" i="9" s="1"/>
  <c r="L22" i="11" s="1"/>
  <c r="L22" i="13" s="1"/>
  <c r="L22" i="15" s="1"/>
  <c r="L22" i="16" s="1"/>
  <c r="L22" i="17" s="1"/>
  <c r="L22" i="18" s="1"/>
  <c r="L22" i="19" s="1"/>
  <c r="L22" i="20" s="1"/>
  <c r="L22" i="21" s="1"/>
  <c r="L22" i="23" s="1"/>
  <c r="L22" i="24" s="1"/>
  <c r="L22" i="25" s="1"/>
  <c r="L22" i="26" s="1"/>
  <c r="L19" i="2"/>
  <c r="L19" i="3" s="1"/>
  <c r="L16" i="2"/>
  <c r="L16" i="3" s="1"/>
  <c r="O10" i="2"/>
  <c r="L10" i="2"/>
  <c r="L10" i="3" s="1"/>
  <c r="L10" i="4" s="1"/>
  <c r="L10" i="5" s="1"/>
  <c r="L10" i="6" s="1"/>
  <c r="L10" i="7" s="1"/>
  <c r="L10" i="8" s="1"/>
  <c r="L34" i="4" l="1"/>
  <c r="M36" i="4"/>
  <c r="O36" i="3"/>
  <c r="M38" i="4"/>
  <c r="O38" i="3"/>
  <c r="O43" i="2"/>
  <c r="O10" i="3"/>
  <c r="O43" i="3" s="1"/>
  <c r="L46" i="5"/>
  <c r="L10" i="9"/>
  <c r="L10" i="11" s="1"/>
  <c r="L10" i="13" s="1"/>
  <c r="L10" i="15" s="1"/>
  <c r="L10" i="16" s="1"/>
  <c r="L10" i="17" s="1"/>
  <c r="L10" i="18" s="1"/>
  <c r="L10" i="19" s="1"/>
  <c r="L10" i="20" s="1"/>
  <c r="L10" i="21" s="1"/>
  <c r="L10" i="23" s="1"/>
  <c r="L10" i="24" s="1"/>
  <c r="L10" i="25" s="1"/>
  <c r="L10" i="26" s="1"/>
  <c r="L16" i="4"/>
  <c r="O16" i="3"/>
  <c r="L19" i="4"/>
  <c r="O19" i="3"/>
  <c r="L25" i="13"/>
  <c r="L25" i="15" s="1"/>
  <c r="L25" i="16" s="1"/>
  <c r="L25" i="17" s="1"/>
  <c r="L25" i="18" s="1"/>
  <c r="L25" i="19" s="1"/>
  <c r="L25" i="20" s="1"/>
  <c r="L25" i="21" s="1"/>
  <c r="L25" i="23" s="1"/>
  <c r="L25" i="24" s="1"/>
  <c r="L25" i="25" s="1"/>
  <c r="L25" i="26" s="1"/>
  <c r="L25" i="11"/>
  <c r="M37" i="4"/>
  <c r="O37" i="3"/>
  <c r="L43" i="4"/>
  <c r="L28" i="4"/>
  <c r="O28" i="3"/>
  <c r="O42" i="2"/>
  <c r="O40" i="2"/>
  <c r="O39" i="2"/>
  <c r="L39" i="2"/>
  <c r="L40" i="2" s="1"/>
  <c r="L40" i="3" s="1"/>
  <c r="L40" i="4" s="1"/>
  <c r="L40" i="5" s="1"/>
  <c r="L40" i="6" s="1"/>
  <c r="L40" i="7" s="1"/>
  <c r="L40" i="8" s="1"/>
  <c r="L40" i="9" s="1"/>
  <c r="L40" i="11" s="1"/>
  <c r="L40" i="13" s="1"/>
  <c r="L40" i="15" s="1"/>
  <c r="L40" i="16" s="1"/>
  <c r="L40" i="17" s="1"/>
  <c r="L40" i="18" s="1"/>
  <c r="L40" i="19" s="1"/>
  <c r="L40" i="20" s="1"/>
  <c r="L40" i="21" s="1"/>
  <c r="L40" i="23" s="1"/>
  <c r="L40" i="24" s="1"/>
  <c r="L40" i="25" s="1"/>
  <c r="L40" i="26" s="1"/>
  <c r="O38" i="2"/>
  <c r="N38" i="2"/>
  <c r="O37" i="2"/>
  <c r="N37" i="2"/>
  <c r="O36" i="2"/>
  <c r="N36" i="2"/>
  <c r="O34" i="2"/>
  <c r="O33" i="2"/>
  <c r="O28" i="2"/>
  <c r="O27" i="2"/>
  <c r="I21" i="2"/>
  <c r="O19" i="2"/>
  <c r="I19" i="2"/>
  <c r="O18" i="2"/>
  <c r="I17" i="2"/>
  <c r="O16" i="2"/>
  <c r="I16" i="2"/>
  <c r="O15" i="2"/>
  <c r="O7" i="2"/>
  <c r="O6" i="2"/>
  <c r="O42" i="1"/>
  <c r="O40" i="1"/>
  <c r="L46" i="6" l="1"/>
  <c r="L43" i="5"/>
  <c r="L43" i="6" s="1"/>
  <c r="M37" i="5"/>
  <c r="O37" i="4"/>
  <c r="O10" i="4"/>
  <c r="O40" i="3"/>
  <c r="O7" i="3"/>
  <c r="L28" i="5"/>
  <c r="O28" i="4"/>
  <c r="M38" i="5"/>
  <c r="O38" i="4"/>
  <c r="L19" i="5"/>
  <c r="O19" i="4"/>
  <c r="M36" i="5"/>
  <c r="O36" i="4"/>
  <c r="L16" i="5"/>
  <c r="O16" i="4"/>
  <c r="O34" i="3"/>
  <c r="L34" i="5"/>
  <c r="O34" i="4"/>
  <c r="I33" i="2"/>
  <c r="I23" i="1"/>
  <c r="L34" i="6" l="1"/>
  <c r="L12" i="2"/>
  <c r="M38" i="6"/>
  <c r="O38" i="5"/>
  <c r="O28" i="5"/>
  <c r="L28" i="6"/>
  <c r="L16" i="6"/>
  <c r="O16" i="5"/>
  <c r="O10" i="5"/>
  <c r="O40" i="4"/>
  <c r="O7" i="4"/>
  <c r="M36" i="6"/>
  <c r="O36" i="5"/>
  <c r="M37" i="6"/>
  <c r="O37" i="5"/>
  <c r="O43" i="4"/>
  <c r="L43" i="7"/>
  <c r="L19" i="6"/>
  <c r="O19" i="5"/>
  <c r="L46" i="7"/>
  <c r="O45" i="2"/>
  <c r="O12" i="2"/>
  <c r="I21" i="1"/>
  <c r="I19" i="1"/>
  <c r="O43" i="1"/>
  <c r="O39" i="1"/>
  <c r="L39" i="1"/>
  <c r="O38" i="1"/>
  <c r="N38" i="1"/>
  <c r="O37" i="1"/>
  <c r="N37" i="1"/>
  <c r="O36" i="1"/>
  <c r="N36" i="1"/>
  <c r="O34" i="1"/>
  <c r="O33" i="1"/>
  <c r="O28" i="1"/>
  <c r="O27" i="1"/>
  <c r="O19" i="1"/>
  <c r="O18" i="1"/>
  <c r="I17" i="1"/>
  <c r="O16" i="1"/>
  <c r="I16" i="1"/>
  <c r="O15" i="1"/>
  <c r="O13" i="1"/>
  <c r="O7" i="1"/>
  <c r="O6" i="1"/>
  <c r="O43" i="5" l="1"/>
  <c r="O10" i="6"/>
  <c r="O34" i="6" s="1"/>
  <c r="O40" i="5"/>
  <c r="O7" i="5"/>
  <c r="L43" i="8"/>
  <c r="L19" i="7"/>
  <c r="O19" i="6"/>
  <c r="L16" i="7"/>
  <c r="O16" i="6"/>
  <c r="L28" i="7"/>
  <c r="O28" i="6"/>
  <c r="M37" i="7"/>
  <c r="O37" i="6"/>
  <c r="M38" i="7"/>
  <c r="O38" i="6"/>
  <c r="M36" i="7"/>
  <c r="O36" i="6"/>
  <c r="O34" i="5"/>
  <c r="L46" i="8"/>
  <c r="L34" i="7"/>
  <c r="I33" i="1"/>
  <c r="O46" i="7" s="1"/>
  <c r="O13" i="7" s="1"/>
  <c r="M37" i="8" l="1"/>
  <c r="O37" i="7"/>
  <c r="L28" i="8"/>
  <c r="O28" i="7"/>
  <c r="L34" i="8"/>
  <c r="O34" i="7"/>
  <c r="O46" i="8"/>
  <c r="O13" i="8" s="1"/>
  <c r="L46" i="9"/>
  <c r="L43" i="9"/>
  <c r="L12" i="1"/>
  <c r="O12" i="1"/>
  <c r="O46" i="3"/>
  <c r="O45" i="1"/>
  <c r="O46" i="4"/>
  <c r="O46" i="5"/>
  <c r="O46" i="2"/>
  <c r="O46" i="6"/>
  <c r="O13" i="6" s="1"/>
  <c r="L16" i="8"/>
  <c r="O16" i="7"/>
  <c r="L19" i="8"/>
  <c r="O19" i="7"/>
  <c r="M36" i="8"/>
  <c r="O36" i="7"/>
  <c r="M38" i="8"/>
  <c r="O38" i="7"/>
  <c r="O10" i="7"/>
  <c r="O7" i="6"/>
  <c r="O40" i="6"/>
  <c r="O43" i="6"/>
  <c r="O13" i="3" l="1"/>
  <c r="L13" i="3"/>
  <c r="L43" i="11"/>
  <c r="L13" i="6"/>
  <c r="L13" i="2"/>
  <c r="O13" i="2"/>
  <c r="L34" i="9"/>
  <c r="O10" i="8"/>
  <c r="O40" i="7"/>
  <c r="O7" i="7"/>
  <c r="L13" i="7"/>
  <c r="O43" i="7"/>
  <c r="O13" i="4"/>
  <c r="L13" i="4"/>
  <c r="L28" i="9"/>
  <c r="O28" i="8"/>
  <c r="M38" i="9"/>
  <c r="O38" i="8"/>
  <c r="O37" i="8"/>
  <c r="M37" i="9"/>
  <c r="M36" i="9"/>
  <c r="O36" i="8"/>
  <c r="O19" i="8"/>
  <c r="L19" i="9"/>
  <c r="L46" i="11"/>
  <c r="O46" i="9"/>
  <c r="O13" i="9" s="1"/>
  <c r="L16" i="9"/>
  <c r="O16" i="8"/>
  <c r="O13" i="5"/>
  <c r="L13" i="5"/>
  <c r="O10" i="9" l="1"/>
  <c r="O40" i="8"/>
  <c r="O7" i="8"/>
  <c r="L13" i="8"/>
  <c r="O43" i="8"/>
  <c r="O34" i="8"/>
  <c r="L34" i="11"/>
  <c r="O34" i="9"/>
  <c r="L16" i="11"/>
  <c r="O16" i="9"/>
  <c r="L28" i="11"/>
  <c r="O28" i="9"/>
  <c r="M36" i="11"/>
  <c r="O36" i="9"/>
  <c r="M37" i="11"/>
  <c r="O37" i="9"/>
  <c r="M38" i="11"/>
  <c r="O38" i="9"/>
  <c r="L46" i="13"/>
  <c r="O46" i="11"/>
  <c r="O13" i="11" s="1"/>
  <c r="L43" i="13"/>
  <c r="L19" i="11"/>
  <c r="O19" i="9"/>
  <c r="L19" i="13" l="1"/>
  <c r="O19" i="11"/>
  <c r="L43" i="15"/>
  <c r="L46" i="15"/>
  <c r="O46" i="13"/>
  <c r="O13" i="13" s="1"/>
  <c r="L34" i="13"/>
  <c r="O34" i="11"/>
  <c r="M38" i="13"/>
  <c r="O38" i="11"/>
  <c r="M37" i="13"/>
  <c r="O37" i="11"/>
  <c r="L28" i="13"/>
  <c r="O28" i="11"/>
  <c r="L16" i="13"/>
  <c r="O16" i="11"/>
  <c r="M36" i="13"/>
  <c r="O36" i="11"/>
  <c r="O10" i="11"/>
  <c r="O7" i="9"/>
  <c r="O40" i="9"/>
  <c r="L13" i="9"/>
  <c r="O43" i="9"/>
  <c r="M38" i="15" l="1"/>
  <c r="O38" i="13"/>
  <c r="M37" i="15"/>
  <c r="O37" i="13"/>
  <c r="O10" i="13"/>
  <c r="O7" i="11"/>
  <c r="O40" i="11"/>
  <c r="L13" i="11"/>
  <c r="O43" i="11"/>
  <c r="L34" i="15"/>
  <c r="O34" i="13"/>
  <c r="M36" i="15"/>
  <c r="O36" i="13"/>
  <c r="L46" i="16"/>
  <c r="O46" i="15"/>
  <c r="O13" i="15" s="1"/>
  <c r="L16" i="15"/>
  <c r="O16" i="13"/>
  <c r="L43" i="16"/>
  <c r="L28" i="15"/>
  <c r="O28" i="13"/>
  <c r="L19" i="15"/>
  <c r="O19" i="13"/>
  <c r="M36" i="16" l="1"/>
  <c r="O36" i="15"/>
  <c r="L34" i="16"/>
  <c r="L28" i="16"/>
  <c r="O28" i="15"/>
  <c r="L43" i="17"/>
  <c r="O10" i="15"/>
  <c r="O34" i="15" s="1"/>
  <c r="O7" i="13"/>
  <c r="O40" i="13"/>
  <c r="L13" i="13"/>
  <c r="O43" i="13"/>
  <c r="L16" i="16"/>
  <c r="O16" i="15"/>
  <c r="M37" i="16"/>
  <c r="O37" i="15"/>
  <c r="L19" i="16"/>
  <c r="O19" i="15"/>
  <c r="L46" i="17"/>
  <c r="O46" i="16"/>
  <c r="O13" i="16" s="1"/>
  <c r="M38" i="16"/>
  <c r="O38" i="15"/>
  <c r="M38" i="17" l="1"/>
  <c r="O38" i="16"/>
  <c r="L46" i="18"/>
  <c r="O46" i="17"/>
  <c r="O13" i="17" s="1"/>
  <c r="L43" i="18"/>
  <c r="L19" i="17"/>
  <c r="O19" i="16"/>
  <c r="L28" i="17"/>
  <c r="O28" i="16"/>
  <c r="M37" i="17"/>
  <c r="O37" i="16"/>
  <c r="L34" i="17"/>
  <c r="L16" i="17"/>
  <c r="O16" i="16"/>
  <c r="O10" i="16"/>
  <c r="O34" i="16" s="1"/>
  <c r="O40" i="15"/>
  <c r="O7" i="15"/>
  <c r="L13" i="15"/>
  <c r="O43" i="15"/>
  <c r="M36" i="17"/>
  <c r="O36" i="16"/>
  <c r="L46" i="19" l="1"/>
  <c r="O46" i="18"/>
  <c r="O13" i="18" s="1"/>
  <c r="L34" i="19"/>
  <c r="L34" i="18"/>
  <c r="O34" i="17"/>
  <c r="M38" i="18"/>
  <c r="O38" i="17"/>
  <c r="M37" i="18"/>
  <c r="O37" i="17"/>
  <c r="M36" i="18"/>
  <c r="O36" i="17"/>
  <c r="L28" i="18"/>
  <c r="O28" i="17"/>
  <c r="L19" i="18"/>
  <c r="O19" i="17"/>
  <c r="O10" i="17"/>
  <c r="O7" i="16"/>
  <c r="O40" i="16"/>
  <c r="L13" i="16"/>
  <c r="O43" i="16"/>
  <c r="L43" i="19"/>
  <c r="L16" i="18"/>
  <c r="O16" i="17"/>
  <c r="L28" i="19" l="1"/>
  <c r="O28" i="18"/>
  <c r="L16" i="19"/>
  <c r="O16" i="18"/>
  <c r="M36" i="19"/>
  <c r="O36" i="18"/>
  <c r="L43" i="20"/>
  <c r="M37" i="19"/>
  <c r="O37" i="18"/>
  <c r="M38" i="19"/>
  <c r="O38" i="18"/>
  <c r="O10" i="18"/>
  <c r="O34" i="18" s="1"/>
  <c r="O7" i="17"/>
  <c r="O40" i="17"/>
  <c r="L13" i="17"/>
  <c r="O43" i="17"/>
  <c r="L34" i="20"/>
  <c r="L19" i="19"/>
  <c r="O19" i="18"/>
  <c r="L46" i="20"/>
  <c r="O46" i="19"/>
  <c r="O13" i="19" s="1"/>
  <c r="L46" i="21" l="1"/>
  <c r="O46" i="20"/>
  <c r="O13" i="20" s="1"/>
  <c r="L34" i="21"/>
  <c r="M38" i="20"/>
  <c r="O38" i="19"/>
  <c r="L19" i="20"/>
  <c r="O19" i="19"/>
  <c r="M37" i="20"/>
  <c r="O37" i="19"/>
  <c r="L43" i="21"/>
  <c r="M36" i="20"/>
  <c r="O36" i="19"/>
  <c r="L16" i="20"/>
  <c r="O16" i="19"/>
  <c r="O10" i="19"/>
  <c r="O7" i="18"/>
  <c r="O40" i="18"/>
  <c r="L13" i="18"/>
  <c r="O43" i="18"/>
  <c r="L28" i="20"/>
  <c r="O28" i="19"/>
  <c r="L19" i="21" l="1"/>
  <c r="O19" i="20"/>
  <c r="L28" i="21"/>
  <c r="O28" i="20"/>
  <c r="M37" i="21"/>
  <c r="O37" i="20"/>
  <c r="M38" i="21"/>
  <c r="O38" i="20"/>
  <c r="L16" i="21"/>
  <c r="O16" i="20"/>
  <c r="L34" i="23"/>
  <c r="L43" i="23"/>
  <c r="O10" i="20"/>
  <c r="O7" i="19"/>
  <c r="O40" i="19"/>
  <c r="L13" i="19"/>
  <c r="O43" i="19"/>
  <c r="O34" i="19"/>
  <c r="M36" i="21"/>
  <c r="O36" i="20"/>
  <c r="O46" i="21"/>
  <c r="O13" i="21" s="1"/>
  <c r="L46" i="23"/>
  <c r="L46" i="24" l="1"/>
  <c r="O46" i="23"/>
  <c r="L34" i="24"/>
  <c r="M36" i="23"/>
  <c r="O36" i="21"/>
  <c r="M38" i="23"/>
  <c r="O38" i="21"/>
  <c r="L16" i="23"/>
  <c r="O16" i="21"/>
  <c r="M37" i="23"/>
  <c r="O37" i="21"/>
  <c r="L13" i="20"/>
  <c r="O10" i="21"/>
  <c r="O40" i="20"/>
  <c r="O7" i="20"/>
  <c r="O43" i="20"/>
  <c r="O34" i="20"/>
  <c r="L28" i="23"/>
  <c r="O28" i="21"/>
  <c r="L43" i="24"/>
  <c r="L19" i="23"/>
  <c r="O19" i="21"/>
  <c r="L19" i="24" l="1"/>
  <c r="O19" i="23"/>
  <c r="M37" i="24"/>
  <c r="O37" i="23"/>
  <c r="L43" i="25"/>
  <c r="L16" i="24"/>
  <c r="O16" i="23"/>
  <c r="L28" i="24"/>
  <c r="O28" i="23"/>
  <c r="M38" i="24"/>
  <c r="O38" i="23"/>
  <c r="M36" i="24"/>
  <c r="O36" i="23"/>
  <c r="L34" i="25"/>
  <c r="L13" i="21"/>
  <c r="O10" i="23"/>
  <c r="O7" i="21"/>
  <c r="O40" i="21"/>
  <c r="O43" i="21"/>
  <c r="O34" i="21"/>
  <c r="L13" i="23"/>
  <c r="O13" i="23"/>
  <c r="L46" i="25"/>
  <c r="O46" i="24"/>
  <c r="M38" i="25" l="1"/>
  <c r="O38" i="24"/>
  <c r="L28" i="25"/>
  <c r="O28" i="24"/>
  <c r="O16" i="24"/>
  <c r="L16" i="25"/>
  <c r="O10" i="24"/>
  <c r="O40" i="23"/>
  <c r="O7" i="23"/>
  <c r="O34" i="23"/>
  <c r="O43" i="23"/>
  <c r="L43" i="26"/>
  <c r="L34" i="26"/>
  <c r="M37" i="25"/>
  <c r="O37" i="24"/>
  <c r="O13" i="24"/>
  <c r="L46" i="26"/>
  <c r="O46" i="26" s="1"/>
  <c r="O13" i="26" s="1"/>
  <c r="O46" i="25"/>
  <c r="O13" i="25" s="1"/>
  <c r="M36" i="25"/>
  <c r="O36" i="24"/>
  <c r="L19" i="25"/>
  <c r="O19" i="24"/>
  <c r="L19" i="26" l="1"/>
  <c r="O19" i="26" s="1"/>
  <c r="O19" i="25"/>
  <c r="M36" i="26"/>
  <c r="O36" i="26" s="1"/>
  <c r="O36" i="25"/>
  <c r="O10" i="25"/>
  <c r="O7" i="24"/>
  <c r="O40" i="24"/>
  <c r="O34" i="24"/>
  <c r="O43" i="24"/>
  <c r="L13" i="24"/>
  <c r="L16" i="26"/>
  <c r="O16" i="26" s="1"/>
  <c r="O16" i="25"/>
  <c r="M37" i="26"/>
  <c r="O37" i="26" s="1"/>
  <c r="O37" i="25"/>
  <c r="L28" i="26"/>
  <c r="O28" i="26" s="1"/>
  <c r="O28" i="25"/>
  <c r="M38" i="26"/>
  <c r="O38" i="26" s="1"/>
  <c r="O38" i="25"/>
  <c r="O10" i="26" l="1"/>
  <c r="O7" i="25"/>
  <c r="O40" i="25"/>
  <c r="L13" i="25"/>
  <c r="O43" i="25"/>
  <c r="O34" i="25"/>
  <c r="O40" i="26" l="1"/>
  <c r="O7" i="26"/>
  <c r="L13" i="26"/>
  <c r="O43" i="26"/>
  <c r="O34" i="26"/>
</calcChain>
</file>

<file path=xl/sharedStrings.xml><?xml version="1.0" encoding="utf-8"?>
<sst xmlns="http://schemas.openxmlformats.org/spreadsheetml/2006/main" count="2343" uniqueCount="332">
  <si>
    <r>
      <t xml:space="preserve">     </t>
    </r>
    <r>
      <rPr>
        <b/>
        <sz val="34"/>
        <color theme="1"/>
        <rFont val="SimSun"/>
      </rPr>
      <t xml:space="preserve">酸轧线生产运行记录总表 </t>
    </r>
    <r>
      <rPr>
        <b/>
        <sz val="34"/>
        <color theme="1"/>
        <rFont val="Angsana New"/>
        <family val="1"/>
      </rPr>
      <t xml:space="preserve">สรุปการผลิต PK CRL Line                                  </t>
    </r>
  </si>
  <si>
    <r>
      <t xml:space="preserve">日期 </t>
    </r>
    <r>
      <rPr>
        <b/>
        <sz val="24"/>
        <color theme="1"/>
        <rFont val="Angsana New"/>
        <family val="1"/>
      </rPr>
      <t>(Date)</t>
    </r>
  </si>
  <si>
    <t>生产数据记录
บันทึกข้อมูลการผลิต</t>
  </si>
  <si>
    <t>序号 
Item</t>
  </si>
  <si>
    <t>生产订单 
Production Order</t>
  </si>
  <si>
    <r>
      <t xml:space="preserve">原料规格    </t>
    </r>
    <r>
      <rPr>
        <b/>
        <sz val="22"/>
        <color theme="1"/>
        <rFont val="Angsana New"/>
        <family val="1"/>
        <charset val="222"/>
      </rPr>
      <t>size of material</t>
    </r>
  </si>
  <si>
    <r>
      <rPr>
        <b/>
        <sz val="18"/>
        <color theme="1"/>
        <rFont val="宋体"/>
        <family val="3"/>
        <charset val="134"/>
      </rPr>
      <t xml:space="preserve">原料重量
</t>
    </r>
    <r>
      <rPr>
        <b/>
        <sz val="22"/>
        <color theme="1"/>
        <rFont val="Angsana New"/>
        <family val="1"/>
      </rPr>
      <t>Weight of material</t>
    </r>
    <r>
      <rPr>
        <b/>
        <sz val="22"/>
        <color theme="1"/>
        <rFont val="宋体"/>
        <family val="3"/>
        <charset val="134"/>
      </rPr>
      <t>（</t>
    </r>
    <r>
      <rPr>
        <b/>
        <sz val="22"/>
        <color theme="1"/>
        <rFont val="Angsana New"/>
        <family val="1"/>
      </rPr>
      <t>t</t>
    </r>
    <r>
      <rPr>
        <b/>
        <sz val="22"/>
        <color theme="1"/>
        <rFont val="宋体"/>
        <family val="3"/>
        <charset val="134"/>
      </rPr>
      <t>）</t>
    </r>
  </si>
  <si>
    <r>
      <t>原料卷数</t>
    </r>
    <r>
      <rPr>
        <b/>
        <sz val="18"/>
        <color theme="1"/>
        <rFont val="Angsana New"/>
        <family val="1"/>
      </rPr>
      <t>PK（coil）</t>
    </r>
  </si>
  <si>
    <r>
      <rPr>
        <b/>
        <sz val="18"/>
        <color theme="1"/>
        <rFont val="宋体"/>
        <family val="3"/>
        <charset val="134"/>
      </rPr>
      <t>成品规格</t>
    </r>
    <r>
      <rPr>
        <b/>
        <sz val="18"/>
        <color theme="1"/>
        <rFont val="Angsana New"/>
        <family val="1"/>
      </rPr>
      <t xml:space="preserve"> 
Description product</t>
    </r>
  </si>
  <si>
    <r>
      <rPr>
        <b/>
        <sz val="18"/>
        <color theme="1"/>
        <rFont val="宋体"/>
        <family val="3"/>
        <charset val="134"/>
      </rPr>
      <t xml:space="preserve">成品重量
</t>
    </r>
    <r>
      <rPr>
        <b/>
        <sz val="18"/>
        <color theme="1"/>
        <rFont val="Angsana New"/>
        <family val="1"/>
      </rPr>
      <t>weight of product</t>
    </r>
    <r>
      <rPr>
        <b/>
        <sz val="24"/>
        <color theme="1"/>
        <rFont val="Angsana New"/>
        <family val="1"/>
        <charset val="222"/>
      </rPr>
      <t xml:space="preserve"> (t)</t>
    </r>
  </si>
  <si>
    <r>
      <rPr>
        <b/>
        <sz val="18"/>
        <color theme="1"/>
        <rFont val="宋体"/>
        <family val="3"/>
        <charset val="134"/>
      </rPr>
      <t>成品卷数</t>
    </r>
    <r>
      <rPr>
        <b/>
        <sz val="18"/>
        <color theme="1"/>
        <rFont val="Angsana New"/>
        <family val="1"/>
      </rPr>
      <t xml:space="preserve"> CRL</t>
    </r>
    <r>
      <rPr>
        <b/>
        <sz val="18"/>
        <color theme="1"/>
        <rFont val="宋体"/>
        <family val="3"/>
        <charset val="134"/>
      </rPr>
      <t>（</t>
    </r>
    <r>
      <rPr>
        <b/>
        <sz val="18"/>
        <color theme="1"/>
        <rFont val="Angsana New"/>
        <family val="1"/>
      </rPr>
      <t>coil</t>
    </r>
    <r>
      <rPr>
        <b/>
        <sz val="18"/>
        <color theme="1"/>
        <rFont val="宋体"/>
        <family val="3"/>
        <charset val="134"/>
      </rPr>
      <t>）</t>
    </r>
  </si>
  <si>
    <r>
      <t>各项指标及能源消耗 (</t>
    </r>
    <r>
      <rPr>
        <b/>
        <sz val="26"/>
        <color theme="1"/>
        <rFont val="Angsana New"/>
        <family val="1"/>
      </rPr>
      <t>ตัวชี้วัดและการใช้พลังงาน)</t>
    </r>
  </si>
  <si>
    <r>
      <t>B</t>
    </r>
    <r>
      <rPr>
        <b/>
        <sz val="28"/>
        <color theme="1"/>
        <rFont val="宋体"/>
        <family val="3"/>
        <charset val="134"/>
      </rPr>
      <t xml:space="preserve">级品 </t>
    </r>
    <r>
      <rPr>
        <b/>
        <sz val="28"/>
        <color theme="1"/>
        <rFont val="Angsana New"/>
        <family val="1"/>
      </rPr>
      <t>(เกรด B)</t>
    </r>
  </si>
  <si>
    <r>
      <rPr>
        <b/>
        <sz val="28"/>
        <color theme="1"/>
        <rFont val="宋体"/>
        <family val="3"/>
        <charset val="134"/>
      </rPr>
      <t>一级品率</t>
    </r>
    <r>
      <rPr>
        <b/>
        <sz val="28"/>
        <color theme="1"/>
        <rFont val="Angsana New"/>
        <family val="1"/>
        <charset val="222"/>
      </rPr>
      <t xml:space="preserve"> (เกรด A)</t>
    </r>
  </si>
  <si>
    <t>HRC 3.00 x 482 SPHC</t>
  </si>
  <si>
    <t>CRC 1.11 x 482 SPCC</t>
  </si>
  <si>
    <r>
      <t>当日 /</t>
    </r>
    <r>
      <rPr>
        <sz val="20"/>
        <color theme="1"/>
        <rFont val="Angsana New"/>
        <family val="1"/>
      </rPr>
      <t>วัน</t>
    </r>
    <r>
      <rPr>
        <sz val="20"/>
        <color theme="1"/>
        <rFont val="宋体"/>
        <family val="3"/>
        <charset val="134"/>
      </rPr>
      <t>（T）</t>
    </r>
  </si>
  <si>
    <t>当日/ วัน（%）</t>
  </si>
  <si>
    <r>
      <t>合计/</t>
    </r>
    <r>
      <rPr>
        <sz val="20"/>
        <color theme="1"/>
        <rFont val="Angsana New"/>
        <family val="1"/>
      </rPr>
      <t>ทั้งหมด</t>
    </r>
    <r>
      <rPr>
        <sz val="20"/>
        <color theme="1"/>
        <rFont val="宋体"/>
        <family val="3"/>
        <charset val="134"/>
      </rPr>
      <t>（T）</t>
    </r>
  </si>
  <si>
    <t>合计/ ทั้งหมด（%）</t>
  </si>
  <si>
    <r>
      <rPr>
        <b/>
        <sz val="28"/>
        <color theme="1"/>
        <rFont val="宋体"/>
        <family val="3"/>
        <charset val="134"/>
      </rPr>
      <t xml:space="preserve">原料重量 </t>
    </r>
    <r>
      <rPr>
        <b/>
        <sz val="28"/>
        <color theme="1"/>
        <rFont val="Angsana New"/>
        <family val="1"/>
      </rPr>
      <t xml:space="preserve">(น้ำหนักวัตถุดิบ) PK </t>
    </r>
  </si>
  <si>
    <r>
      <rPr>
        <b/>
        <sz val="28"/>
        <color theme="1"/>
        <rFont val="宋体"/>
        <family val="3"/>
        <charset val="134"/>
      </rPr>
      <t xml:space="preserve">成品重量 </t>
    </r>
    <r>
      <rPr>
        <b/>
        <sz val="28"/>
        <color theme="1"/>
        <rFont val="Angsana New"/>
        <family val="1"/>
      </rPr>
      <t>(น้ำหนักวัตถุดิบ)  CRL</t>
    </r>
  </si>
  <si>
    <t>当日（t）</t>
  </si>
  <si>
    <t>合计（t）</t>
  </si>
  <si>
    <r>
      <t>机时产量(</t>
    </r>
    <r>
      <rPr>
        <b/>
        <sz val="28"/>
        <color theme="1"/>
        <rFont val="Angsana New"/>
        <family val="1"/>
      </rPr>
      <t>อัตราการผลิต/1ชั่วโมง</t>
    </r>
    <r>
      <rPr>
        <b/>
        <sz val="28"/>
        <color theme="1"/>
        <rFont val="宋体"/>
        <family val="3"/>
        <charset val="134"/>
      </rPr>
      <t>)</t>
    </r>
  </si>
  <si>
    <t>有效作业率 (อัตราการทำงาน)</t>
  </si>
  <si>
    <t>当日（t/h）</t>
  </si>
  <si>
    <t>当日 （%）</t>
  </si>
  <si>
    <t>合计（t/h）</t>
  </si>
  <si>
    <t>合计（%）</t>
  </si>
  <si>
    <r>
      <rPr>
        <b/>
        <sz val="28"/>
        <color theme="1"/>
        <rFont val="宋体"/>
        <family val="3"/>
        <charset val="134"/>
      </rPr>
      <t xml:space="preserve">酸洗电耗 </t>
    </r>
    <r>
      <rPr>
        <b/>
        <sz val="28"/>
        <color theme="1"/>
        <rFont val="Angsana New"/>
        <family val="1"/>
        <charset val="222"/>
      </rPr>
      <t>( ไฟฟ้า) PK</t>
    </r>
  </si>
  <si>
    <t>停机记录
บันทึกการหยุดเครื่อง</t>
  </si>
  <si>
    <t>分钟</t>
  </si>
  <si>
    <t>小时</t>
  </si>
  <si>
    <t>当日（kwh）</t>
  </si>
  <si>
    <t>当日吨钢消耗   （kwh/t）</t>
  </si>
  <si>
    <t>合计（kwh）</t>
  </si>
  <si>
    <t>合计吨钢消耗    （kwh/t）</t>
  </si>
  <si>
    <r>
      <t xml:space="preserve">盐酸 </t>
    </r>
    <r>
      <rPr>
        <b/>
        <sz val="28"/>
        <color theme="1"/>
        <rFont val="Angsana New"/>
        <family val="1"/>
      </rPr>
      <t>(HCL)</t>
    </r>
  </si>
  <si>
    <t>当日（m³）</t>
  </si>
  <si>
    <t>当日吨钢消耗  （m³/t）</t>
  </si>
  <si>
    <t>合计（m³）</t>
  </si>
  <si>
    <t>合计吨钢消耗  （m³/t）</t>
  </si>
  <si>
    <r>
      <rPr>
        <b/>
        <sz val="24"/>
        <color theme="1"/>
        <rFont val="宋体"/>
        <family val="3"/>
        <charset val="134"/>
      </rPr>
      <t>原料打包带</t>
    </r>
    <r>
      <rPr>
        <b/>
        <sz val="24"/>
        <color theme="1"/>
        <rFont val="Angsana New"/>
        <family val="3"/>
        <charset val="134"/>
      </rPr>
      <t>(</t>
    </r>
    <r>
      <rPr>
        <b/>
        <sz val="24"/>
        <color theme="1"/>
        <rFont val="Angsana New"/>
        <family val="1"/>
      </rPr>
      <t xml:space="preserve">น้ำหนักสายรัดวัตถุ) PK </t>
    </r>
  </si>
  <si>
    <r>
      <rPr>
        <b/>
        <sz val="24"/>
        <color theme="1"/>
        <rFont val="宋体"/>
        <family val="3"/>
        <charset val="134"/>
      </rPr>
      <t>焊接切除废料(</t>
    </r>
    <r>
      <rPr>
        <b/>
        <sz val="24"/>
        <color theme="1"/>
        <rFont val="Angsana New"/>
        <family val="1"/>
      </rPr>
      <t>เศษวัสดุหลังการเชื่อม)PK</t>
    </r>
  </si>
  <si>
    <t>当日（kg）</t>
  </si>
  <si>
    <t>合计（kg）</t>
  </si>
  <si>
    <r>
      <t xml:space="preserve">切头切尾 </t>
    </r>
    <r>
      <rPr>
        <b/>
        <sz val="26"/>
        <color theme="1"/>
        <rFont val="Angsana New"/>
        <family val="1"/>
      </rPr>
      <t>(scapหัว-ท้าย)</t>
    </r>
  </si>
  <si>
    <t xml:space="preserve">工艺段及活套废料        (เศษวัสดุจากกระบวนการผลิต)          </t>
  </si>
  <si>
    <t>酸洗天然气( แก๊ส PK)</t>
  </si>
  <si>
    <t>当日（Nm3）</t>
  </si>
  <si>
    <t>当日吨钢消耗  （Nm3/t）</t>
  </si>
  <si>
    <t>合计（Nm3）</t>
  </si>
  <si>
    <t>合计吨钢消耗  （Nm3/t）</t>
  </si>
  <si>
    <r>
      <rPr>
        <b/>
        <sz val="28"/>
        <color theme="1"/>
        <rFont val="宋体"/>
        <family val="3"/>
        <charset val="134"/>
      </rPr>
      <t>缓蚀剂 (</t>
    </r>
    <r>
      <rPr>
        <b/>
        <sz val="28"/>
        <color theme="1"/>
        <rFont val="Angsana New"/>
        <family val="1"/>
        <charset val="222"/>
      </rPr>
      <t>Actived 1803 )</t>
    </r>
  </si>
  <si>
    <t>当日（L）</t>
  </si>
  <si>
    <t>合计(L)</t>
  </si>
  <si>
    <r>
      <t xml:space="preserve">轧机电耗 </t>
    </r>
    <r>
      <rPr>
        <b/>
        <sz val="28"/>
        <color theme="1"/>
        <rFont val="Angsana New"/>
        <family val="1"/>
      </rPr>
      <t xml:space="preserve">(ไฟฟ้า) CRL </t>
    </r>
    <r>
      <rPr>
        <b/>
        <sz val="28"/>
        <color theme="1"/>
        <rFont val="宋体"/>
        <family val="3"/>
        <charset val="134"/>
      </rPr>
      <t xml:space="preserve"> </t>
    </r>
  </si>
  <si>
    <t>当日吨钢消耗 （kwh/t）</t>
  </si>
  <si>
    <t>合计吨钢消耗 （kwh/t）</t>
  </si>
  <si>
    <t xml:space="preserve">质量概述
QC
</t>
  </si>
  <si>
    <r>
      <t xml:space="preserve">轧机废料 </t>
    </r>
    <r>
      <rPr>
        <b/>
        <sz val="26"/>
        <color theme="1"/>
        <rFont val="Angsana New"/>
        <family val="1"/>
      </rPr>
      <t>(เศษวัสดุจากเครื่องรีด)</t>
    </r>
  </si>
  <si>
    <r>
      <t xml:space="preserve">成材率 </t>
    </r>
    <r>
      <rPr>
        <b/>
        <sz val="24"/>
        <color theme="1"/>
        <rFont val="Angsana New"/>
        <family val="1"/>
      </rPr>
      <t>(อัตราการผลิต)</t>
    </r>
  </si>
  <si>
    <t>断带废ของเสียจากสายพานขาด（kg）</t>
  </si>
  <si>
    <t>调整废（kg）ของเสียจากการปรับตั้ง</t>
  </si>
  <si>
    <t>孔洞、边裂（kg）ของเสียจากขอบแตก</t>
  </si>
  <si>
    <t>当日（%）</t>
  </si>
  <si>
    <r>
      <t xml:space="preserve">轧制油 </t>
    </r>
    <r>
      <rPr>
        <b/>
        <sz val="28"/>
        <color theme="1"/>
        <rFont val="Angsana New"/>
        <family val="1"/>
      </rPr>
      <t>(Coolant)</t>
    </r>
  </si>
  <si>
    <r>
      <rPr>
        <b/>
        <sz val="22"/>
        <color theme="1"/>
        <rFont val="宋体"/>
        <family val="3"/>
        <charset val="134"/>
      </rPr>
      <t>备注</t>
    </r>
    <r>
      <rPr>
        <b/>
        <sz val="22"/>
        <color theme="1"/>
        <rFont val="Angsana New"/>
        <family val="1"/>
      </rPr>
      <t xml:space="preserve"> </t>
    </r>
    <r>
      <rPr>
        <b/>
        <sz val="22"/>
        <color theme="1"/>
        <rFont val="Leelawadee UI"/>
        <family val="2"/>
      </rPr>
      <t>หมายเหตุ</t>
    </r>
  </si>
  <si>
    <t>当日吨钢消耗 （kg/t）</t>
  </si>
  <si>
    <t>合计吨钢消耗 （kg/t）</t>
  </si>
  <si>
    <t>日历时间 time</t>
  </si>
  <si>
    <t>实际作业时间 เวลาจริง</t>
  </si>
  <si>
    <t>当日（h）</t>
  </si>
  <si>
    <t>合计（h）</t>
  </si>
  <si>
    <t>Issued : ….....................................................                                                           Approved : …..............................................................</t>
    <phoneticPr fontId="0" type="noConversion"/>
  </si>
  <si>
    <t>23:45 - 23:51换F4工作辊！</t>
  </si>
  <si>
    <t>CRC 1.11 x 479 SPCC</t>
  </si>
  <si>
    <t>HRC 3.40 x 479 SPHC</t>
  </si>
  <si>
    <t>2:13-2:18辊印更换F3工作辊！</t>
  </si>
  <si>
    <t>2:22-2:33焊接头开裂F3出口，更换F4工作辊！</t>
  </si>
  <si>
    <t>3:57-4:27焊接头开裂F2出口更换1.3.4架工作辊！</t>
  </si>
  <si>
    <t>HRC 3.50 x 470 SPHC</t>
  </si>
  <si>
    <t>CRC 1.50 X 470 SPCC</t>
  </si>
  <si>
    <t>2:55-3:10焊接头开裂3F出口，更换F4工作辊！</t>
  </si>
  <si>
    <t>0:20  -1:34处理F4轧机出口测厚仪水冷箱故障，没有停机！                轧制液重量包含油气润滑加180公斤！</t>
  </si>
  <si>
    <t>B级品：3卷边裂</t>
  </si>
  <si>
    <t>CRC 1.50 x 417 SPCC</t>
  </si>
  <si>
    <t>HRC 3.50 x 417 SPHC</t>
  </si>
  <si>
    <t>HRC 4.50 x 383 SPHC</t>
  </si>
  <si>
    <t>CRC 2.90 x 383 SPCC</t>
  </si>
  <si>
    <t>HRC 3.50 x 457 SPHC</t>
  </si>
  <si>
    <t>CRC 1.11 x 457 SPCC</t>
  </si>
  <si>
    <t>22:22-22:27辊印更换F2工作辊！</t>
  </si>
  <si>
    <t>3:08-3:30成品383*4.5*2.9头尾两卷改为2.2便于镀锌焊接F4轧机跳闸！</t>
  </si>
  <si>
    <t>23:42-0:16改规格417*3.5*1.5改383*4.5*2.9轧机失涨，更换F4工作辊！</t>
  </si>
  <si>
    <t>3:35-3:51窄带改宽带更换F1.3.4工作辊！</t>
  </si>
  <si>
    <t>HRC 3.00 x 439 SPHC</t>
  </si>
  <si>
    <t>CRC 1.11 x 439 SPCC</t>
  </si>
  <si>
    <t>B级品：边裂1卷</t>
  </si>
  <si>
    <t>1:30更换F2工作辊，生产期间更换没有停机！                                                                                                         4:58-5:40实验料439*3.0*1.11全程35米工艺速度，共4卷！</t>
  </si>
  <si>
    <t>HRC 3.00 x 437 SPHC</t>
  </si>
  <si>
    <t>CRC 1.11 x 437 SPCC</t>
  </si>
  <si>
    <t>22:15-22:20焊接头开裂F2出口！</t>
  </si>
  <si>
    <t>22:36-22:46调试自动焊机！</t>
  </si>
  <si>
    <t>1:39-1:43辊印更换F2工作辊！</t>
  </si>
  <si>
    <t>2:16-2:23辊印更换F1工作辊！</t>
  </si>
  <si>
    <t>3:11-3:16辊印更换F3工作辊！</t>
  </si>
  <si>
    <t>CRC 1.30 x 437 SPCC</t>
  </si>
  <si>
    <t>6:40-7:00辊印更换F4工作辊！</t>
  </si>
  <si>
    <t>B级品：边裂3卷！</t>
  </si>
  <si>
    <t>0:14-0:25更换自动焊机焊丝！</t>
  </si>
  <si>
    <t>6:36-7:00辊印更换F1.F2工作辊！</t>
  </si>
  <si>
    <t>B级品：边裂2卷！</t>
  </si>
  <si>
    <t>23:20-23:28处理1号收卷机液压阀台漏油！</t>
  </si>
  <si>
    <t>3:16-3:22辊印更换F3工作辊！</t>
  </si>
  <si>
    <t>3:53-3:58调试自动焊机！</t>
  </si>
  <si>
    <t>4:40-4:46辊印更换F4工作辊！</t>
  </si>
  <si>
    <t>HRC 3.60 x 439 SPHC</t>
  </si>
  <si>
    <t>CRC 1.11 x 434 SPCC</t>
  </si>
  <si>
    <t>HRC 3.00 x 434  SPHC</t>
  </si>
  <si>
    <t>B级品：4卷原料边裂，1卷带尾氧化皮，共5卷！</t>
  </si>
  <si>
    <t>22:49-22:54辊印更换F4工作辊！</t>
  </si>
  <si>
    <t>1:24-1:28自动焊机调试！</t>
  </si>
  <si>
    <t>3:35-3:41辊印更换F1工作辊！</t>
  </si>
  <si>
    <t>8:40-9:00更换F2.3工作辊！</t>
  </si>
  <si>
    <t>CRC 1.30 x 434 SPCC</t>
  </si>
  <si>
    <t>B级品：6卷原料边裂！</t>
  </si>
  <si>
    <t>23:50-23:56调试自动焊机！</t>
  </si>
  <si>
    <t>0:23-0:28辊印更换F1工作辊！</t>
  </si>
  <si>
    <t>7:24-7:33处理原料镰刀弯，越10米左右！</t>
  </si>
  <si>
    <t>8:40-9:00更换F2.F4工作辊！</t>
  </si>
  <si>
    <t>边裂2卷！</t>
  </si>
  <si>
    <t>备注：原料镰刀弯剪切110公斤，切头切尾重量已包含！</t>
  </si>
  <si>
    <t>0:26-0:31自动焊机调试！</t>
  </si>
  <si>
    <t>3:55-4:01辊印更换F1工作辊！</t>
  </si>
  <si>
    <t>4:17-4:22辊印更换F3工作辊！</t>
  </si>
  <si>
    <t>6:15-6:21调试自动焊机！</t>
  </si>
  <si>
    <t>B级品：1卷原料边裂！</t>
  </si>
  <si>
    <t>HRC 4.00 x 434 SPHC</t>
  </si>
  <si>
    <t>HRC 3.50 x 433 SPHC</t>
  </si>
  <si>
    <t>CRC 1.30 x 433 SPCC</t>
  </si>
  <si>
    <t>CRC 1.30 x 478 SPCC</t>
  </si>
  <si>
    <t>HRC 3.50 x 478 SPHC</t>
  </si>
  <si>
    <t>HRC 4.00 x 478 SPHC</t>
  </si>
  <si>
    <t>HRC 4.00 x 475 SPHC</t>
  </si>
  <si>
    <t>CRC 1.30 x 475 SPCC</t>
  </si>
  <si>
    <t>22:54-22:59辊印更换F2工作辊！</t>
  </si>
  <si>
    <t>23:33-23:40自动焊机调试！</t>
  </si>
  <si>
    <t>3:07-3:17窄带改宽带更换F1.2.3工作辊！</t>
  </si>
  <si>
    <t>3:22-3:29窄带改宽带更换F4工作辊！</t>
  </si>
  <si>
    <t>6:52-7:00自动焊机调试！</t>
  </si>
  <si>
    <t>HRC 2.22 x 426 SPHC</t>
  </si>
  <si>
    <t>CRC 1.11 x 426 SPCC</t>
  </si>
  <si>
    <t xml:space="preserve">23:17-23:29焊接头开裂！ </t>
  </si>
  <si>
    <t>23:35-23:41辊印更换F4工作辊！</t>
  </si>
  <si>
    <t>0:51-0:57自动焊机调试！</t>
  </si>
  <si>
    <t>5:32-5:44轧制426*2.22原料时由于前期停机料二次酸洗，原料薄1.8导致F1入口断带！</t>
  </si>
  <si>
    <t>HRC 3.00 x 389 SPHC</t>
  </si>
  <si>
    <t>CRC 1.11 x 388 SPCC</t>
  </si>
  <si>
    <t>HRC 3.50 x 388 SPHC</t>
  </si>
  <si>
    <t>6:28-6:39改料带尾裂口断F2出口，更换F3工作辊！</t>
  </si>
  <si>
    <t>CRC 1.30 x 388 SPCC</t>
  </si>
  <si>
    <t>B级品：6卷，4个小卷，2个大卷！</t>
  </si>
  <si>
    <t>备注：2个大卷规格为426*2.22分为4个小卷，一卷分包为2个小卷原因为停产期间检修设备剪断，另一卷为停机期间在酸槽停留过久生锈洗不干净，四个小卷料质检判B级处理！</t>
  </si>
  <si>
    <t>HRC 4.00 x 388 SS400</t>
  </si>
  <si>
    <t>HRC 4.00 x 390 SPHC</t>
  </si>
  <si>
    <t>CRC 1.30 x 390 SPCC</t>
  </si>
  <si>
    <t>CRC 1.30 x 387 SPCC</t>
  </si>
  <si>
    <t>HRC 3.50 x 387 SPHC</t>
  </si>
  <si>
    <t>HRC 3.50 x 435 SPHC</t>
  </si>
  <si>
    <t>CRC 1.11 x 435 SPCC</t>
  </si>
  <si>
    <t>CRC 1.48 x 435 SPCC</t>
  </si>
  <si>
    <t>1:12-1:28辊印更换F1F2工作辊！</t>
  </si>
  <si>
    <t>2:06-2:12辊印更换F4工作辊！</t>
  </si>
  <si>
    <t>4:10-4:28窄带改宽带换F1F2F3F4工作辊！</t>
  </si>
  <si>
    <t>6:39-6:43自动焊机调试！</t>
  </si>
  <si>
    <t>B级品：原料边裂1卷</t>
  </si>
  <si>
    <t>HRC 3.50 x 422 SPHC</t>
  </si>
  <si>
    <t>CRC 1.48 x 422 SPCC</t>
  </si>
  <si>
    <t>HRC 4.20 x 476 SPHC</t>
  </si>
  <si>
    <t>HRC 4.50 x 472 SPHC</t>
  </si>
  <si>
    <t>CRC 1.84 x 472 SPCC</t>
  </si>
  <si>
    <t>HRC 4.50 x 457 SPHC</t>
  </si>
  <si>
    <t>CRC 2.10 x 457 SPCC</t>
  </si>
  <si>
    <t>HRC 4.50 x 443 SPHC</t>
  </si>
  <si>
    <t>HRC 4.50 x 422 SPHC</t>
  </si>
  <si>
    <t>CRC 2.10 x 443 SPCC</t>
  </si>
  <si>
    <t>23:00-23:20窄带改宽带换F1.F2.F3.F4工作辊！</t>
  </si>
  <si>
    <t>0:13-0:19自动焊机调试！</t>
  </si>
  <si>
    <t>2:40-3:05原料镰刀弯F1入口断带！</t>
  </si>
  <si>
    <t>3:12-3:27原料镰刀弯F1出口断带！</t>
  </si>
  <si>
    <t>3:37-3:45辊印更换F1.F3工作辊！</t>
  </si>
  <si>
    <t>5:55-6:00自动焊机二次焊机！</t>
  </si>
  <si>
    <t>CRC 1.84 x 422 SPCC</t>
  </si>
  <si>
    <t>HRC 4.00 x 415 SPHC</t>
  </si>
  <si>
    <t>HRC 3.50 x 412 SPHC</t>
  </si>
  <si>
    <t>CRC 1.84 x 412 SPCC</t>
  </si>
  <si>
    <t>HRC 4.20 x 389 SPHC</t>
  </si>
  <si>
    <t>CRC 1.84 x 389 SPCC</t>
  </si>
  <si>
    <t>HRC 4.50 x 389 SPHC</t>
  </si>
  <si>
    <t>23:35-23:42原料版型不好，二次焊接！</t>
  </si>
  <si>
    <t>4:21-4:39辊印更换F4.F1工作辊！</t>
  </si>
  <si>
    <t>4:43-4:48辊印更换F2工作辊！</t>
  </si>
  <si>
    <t>6:14-6:20辊印更换F4工作辊！</t>
  </si>
  <si>
    <t>B级品3卷原料边裂！</t>
  </si>
  <si>
    <t>HRC 4.50 x 388 SPHC</t>
  </si>
  <si>
    <t>CRC 2.10 x 388 SPCC</t>
  </si>
  <si>
    <t>HRL 4.05 x 430 SS400</t>
  </si>
  <si>
    <t>CRC 1.30 x 428 SPCC</t>
  </si>
  <si>
    <t>23:02-23:24窄带改宽带更换F1.F2.F3.F4工作辊！</t>
  </si>
  <si>
    <t>2:06-2:12自动焊机二次焊接！</t>
  </si>
  <si>
    <t>HRC 4.50 x 341 SPHC</t>
  </si>
  <si>
    <t>CRC 1.84 x 341 SPCC</t>
  </si>
  <si>
    <t>B级品：原料边裂2卷</t>
  </si>
  <si>
    <t>CRC 2.10 x 337 SPCC</t>
  </si>
  <si>
    <t>HRC 4.50 x 337 SPHC</t>
  </si>
  <si>
    <t>HRC 3.06 x 464 SPHC</t>
  </si>
  <si>
    <t>CRC 1.30 x 464 SPCC</t>
  </si>
  <si>
    <t>CRC 2.10 x 428 SPCC</t>
  </si>
  <si>
    <t>HRC 4.50 x 475 SPHC</t>
  </si>
  <si>
    <t>HRL 5.40 x 428 SS400</t>
  </si>
  <si>
    <t>2:18-2:23一号开卷机故障上料跟不上！</t>
  </si>
  <si>
    <t>3:10-4:15酸洗3件热轧带钢不冷轧，更换F1.F2.F3.F4工作辊窄带改宽带！</t>
  </si>
  <si>
    <t>5:03-5:09辊印更换F4工作辊！</t>
  </si>
  <si>
    <t>HRC 4.50 x 475 A460LF</t>
  </si>
  <si>
    <t>酸洗不冷轧带钢，由于轧机工作时间长含有温度，乳化液残留温度及水分，轧机密封过严无法及时疏散温度，导致轧机间内部残留蒸气，酸洗成品易生锈！</t>
  </si>
  <si>
    <t>6:29-7:04五六S辊故障F1入口断带，更换F1.F2.F3.F4工作辊！</t>
  </si>
  <si>
    <t>原料边裂5卷</t>
  </si>
  <si>
    <t>CRC 1.11 x 464 SPCC</t>
  </si>
  <si>
    <t>CRC 1.02 x 464 SPCC</t>
  </si>
  <si>
    <t>3:42-3:56自动焊机故障！</t>
  </si>
  <si>
    <t>6:30-8:00轧机F1操作侧位移传感器故障！</t>
  </si>
  <si>
    <t>B级品：原料边裂10卷！</t>
  </si>
  <si>
    <t>HRL 4.05 x 510 SS400</t>
  </si>
  <si>
    <t>CRC 1.50 x 508 SPCC</t>
  </si>
  <si>
    <t>CRC 1.10 x 436 SPCC</t>
  </si>
  <si>
    <t>HRC 3.00 x 436 SPHC</t>
  </si>
  <si>
    <t>CRC 0.90 x 436 SPCC</t>
  </si>
  <si>
    <t>HRL 4.10 x 430 SS400</t>
  </si>
  <si>
    <t>23:04-23:20辊印更换F1.F4工作辊！</t>
  </si>
  <si>
    <t>1:38-1:46 510*4.05带宽不易开卷！</t>
  </si>
  <si>
    <t>4:47-4:57辊印更换F1工作辊！</t>
  </si>
  <si>
    <t>6:23-6:33生产428*5.4原料过厚，不易开卷！</t>
  </si>
  <si>
    <t>6:42-6:51生产430*4.1换428*5.4焊接头开裂F2出口！</t>
  </si>
  <si>
    <t>7:40-7:45焊接头开裂F3出口！</t>
  </si>
  <si>
    <t>B级品：2卷原料边裂！</t>
  </si>
  <si>
    <t>-</t>
  </si>
  <si>
    <t>HRC 3.02 x 463 SPHC</t>
  </si>
  <si>
    <t>CRC 1.02 x 463 SPCC</t>
  </si>
  <si>
    <t>CRC 1.02 x 423 SPCC</t>
  </si>
  <si>
    <t>CRC 0.70 x 423 SPCC</t>
  </si>
  <si>
    <t>HRC 2.28 x 423 SPHC</t>
  </si>
  <si>
    <t>CRC 1.10 x 421 SPCC</t>
  </si>
  <si>
    <t>HRC 2.22 x 421 SPHC</t>
  </si>
  <si>
    <t>23:14-23:30窄带改宽带更换F1.F2.F3.F4工作辊！</t>
  </si>
  <si>
    <t>4:57-5:02工艺段拉矫机报警！</t>
  </si>
  <si>
    <t>23:14-0:03酸洗热轧带钢两卷！</t>
  </si>
  <si>
    <t>B级品：原料边裂6卷，1卷原料划伤，共7卷！</t>
  </si>
  <si>
    <t>CRC 1.10 x 423 SPCC</t>
  </si>
  <si>
    <t>22:01-22:07自动焊机调试！</t>
  </si>
  <si>
    <t>0:03-0:08更换F1.F3工作辊！</t>
  </si>
  <si>
    <t>1:36-1:42更换F4工作辊！</t>
  </si>
  <si>
    <t>CRC 1.30 x 423 SPCC</t>
  </si>
  <si>
    <t>HRC 2.28 x 421 SPHC</t>
  </si>
  <si>
    <t>B级品：原料边裂5卷！</t>
  </si>
  <si>
    <t>3:40左右正常生产423*2.28*1.3一号收卷机助卷皮带断裂，疑是皮带质量问题，待设备人员确认！</t>
  </si>
  <si>
    <t>HRC 3.00 x 390 SPHC</t>
  </si>
  <si>
    <t>HRC 2.50 x 444 SPHC</t>
  </si>
  <si>
    <t>CRC 1.10 x 390 SPCC</t>
  </si>
  <si>
    <t>CRC 0.35 x 444 SPCC</t>
  </si>
  <si>
    <t>CRC 0.45 x 444 SPCC</t>
  </si>
  <si>
    <t>HRC 2.50 x 414 SPHC</t>
  </si>
  <si>
    <t>HRC 2.50 x 408 SPHC</t>
  </si>
  <si>
    <t>CRC 0.45 x 414 SPCC</t>
  </si>
  <si>
    <t>CRC 0.35 x 408 SPCC</t>
  </si>
  <si>
    <t>HRC 2.50 x 406 SPHC</t>
  </si>
  <si>
    <t>CRC 0.45 x 406 SPCC</t>
  </si>
  <si>
    <t>0:00-0:05改宽带更换F2.F4工作辊！</t>
  </si>
  <si>
    <t>0:45-0:50辊印更换F4工作辊！</t>
  </si>
  <si>
    <t>1:14-1:18辊印更换F2工作辊！</t>
  </si>
  <si>
    <t>1:23-1:40辊印更换F1工作辊！</t>
  </si>
  <si>
    <t>2:26-2:50轧薄料焊接头开裂，更换F4工作辊！</t>
  </si>
  <si>
    <t>4:34-4:42薄带焊接头开裂更换F4工作辊！</t>
  </si>
  <si>
    <t>5:15-5:30辊印更换F1.F4工作辊！</t>
  </si>
  <si>
    <t>6:19-6:27辊印更换F1工作辊！</t>
  </si>
  <si>
    <t>7:41-7:58薄带焊接头开裂更换F4工作辊！</t>
  </si>
  <si>
    <t>8:34-8:40辊印更换F1工作辊！</t>
  </si>
  <si>
    <t>生产成品0.35薄壁带钢时，焊接头基本每卷开裂，疑是变形量打，变形量为87！</t>
  </si>
  <si>
    <t>B级品：原料边裂4卷！</t>
  </si>
  <si>
    <t>CRC 0.55 x 406 SPCC</t>
  </si>
  <si>
    <t>CRC 0.45 x 398 SPCC</t>
  </si>
  <si>
    <t>HRC 2.50 x 398 SPHC</t>
  </si>
  <si>
    <t>CRC 0.65 x 398 SPCC</t>
  </si>
  <si>
    <t>HRC 2.75 x 398 SPHC</t>
  </si>
  <si>
    <t>CRC 0.70 x 388 SPCC</t>
  </si>
  <si>
    <t>HRC 2.41 x 388 SPHC</t>
  </si>
  <si>
    <t>CRC 0.45 x 386 SPCC</t>
  </si>
  <si>
    <t>HRC 2.50 x 386 SPHC</t>
  </si>
  <si>
    <t>CRC 0.65 x 376 SPCC</t>
  </si>
  <si>
    <t>HRC 2.75 x 376 SPHC</t>
  </si>
  <si>
    <t>CRC 0.90 x 375 SPCC</t>
  </si>
  <si>
    <t>HRC 3.00 x 375 SPHC</t>
  </si>
  <si>
    <t>HRC 3.00 x 362 SPHC</t>
  </si>
  <si>
    <t>CRC 0.70 x 362 SPCC</t>
  </si>
  <si>
    <t>CRC 0.70 x 357 SPCC</t>
  </si>
  <si>
    <t>HRC 2.75 x 357 SPHC</t>
  </si>
  <si>
    <t>22:42-22:47辊印更换F1.F3工作辊！</t>
  </si>
  <si>
    <t>23-51-0:00轧制0.35焊接头开裂F3出口，更换F4工作辊！</t>
  </si>
  <si>
    <t>0:28-0:34辊印更换F1工作辊！</t>
  </si>
  <si>
    <t>1:16-1:33辊印更换F2.F3.F4工作辊！</t>
  </si>
  <si>
    <t>2:09-2:15焊接头开裂F2出口！</t>
  </si>
  <si>
    <t>4:47-4:51辊印更换F1工作辊！</t>
  </si>
  <si>
    <t>5:47-5:52辊印更换F1工作辊！</t>
  </si>
  <si>
    <t>CRC 0.45 x 348 SPCC</t>
  </si>
  <si>
    <t>HRC 2.50 x 348 SPHC</t>
  </si>
  <si>
    <t>8:20-8:25辊印更换F4工作辊！</t>
  </si>
  <si>
    <t>CRC 0.55 x 348 SPCC</t>
  </si>
  <si>
    <t>原料边裂11卷!</t>
  </si>
  <si>
    <t>（镰刀弯/头尾薄厚不均）  开卷剪切342Kg!</t>
  </si>
  <si>
    <t>HRC 2.75 x 336 SPHC</t>
  </si>
  <si>
    <t>CRC 0.83 x 336 SPCC</t>
  </si>
  <si>
    <t>HRC 3.50 x 370 SPHC</t>
  </si>
  <si>
    <t>CRC 1.20 x 370 SPCC</t>
  </si>
  <si>
    <t>HRC 4.00 x 361 SPHC</t>
  </si>
  <si>
    <t>CRC 1.30 x 361 SPCC</t>
  </si>
  <si>
    <t>CRC 1.10 x 362 SPCC</t>
  </si>
  <si>
    <t>22:22-22:28辊印更换F3工作辊！</t>
  </si>
  <si>
    <t>23:46-23:51辊印更换F4工作辊！</t>
  </si>
  <si>
    <t>0:43-0:52窄带改宽带更换F1.F2.F3工作辊！</t>
  </si>
  <si>
    <t>4:00无生产计划停机收拾现场！                                                                                                                                原料镰刀弯/头尾薄厚不均开卷剪切80Kg</t>
  </si>
  <si>
    <t>B级品原料边裂1卷！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</si>
</sst>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#,##0.000"/>
    <numFmt numFmtId="167" formatCode="0.00000%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4"/>
      <color theme="1"/>
      <name val="Angsana New"/>
      <family val="1"/>
    </font>
    <font>
      <b/>
      <sz val="34"/>
      <color theme="1"/>
      <name val="SimSun"/>
    </font>
    <font>
      <sz val="18"/>
      <color theme="1"/>
      <name val="Angsana New"/>
      <family val="1"/>
    </font>
    <font>
      <b/>
      <sz val="18"/>
      <color theme="1"/>
      <name val="SimSun"/>
      <family val="3"/>
      <charset val="134"/>
    </font>
    <font>
      <b/>
      <sz val="18"/>
      <color theme="1"/>
      <name val="Angsana New"/>
      <family val="1"/>
    </font>
    <font>
      <b/>
      <sz val="24"/>
      <color theme="1"/>
      <name val="SimSun"/>
      <family val="3"/>
      <charset val="134"/>
    </font>
    <font>
      <b/>
      <sz val="24"/>
      <color theme="1"/>
      <name val="Angsana New"/>
      <family val="1"/>
    </font>
    <font>
      <b/>
      <sz val="28"/>
      <color theme="1"/>
      <name val="Angsana New"/>
      <family val="1"/>
    </font>
    <font>
      <b/>
      <sz val="22"/>
      <color theme="1"/>
      <name val="Angsana New"/>
      <family val="1"/>
    </font>
    <font>
      <b/>
      <sz val="22"/>
      <color theme="1"/>
      <name val="Angsana New"/>
      <family val="1"/>
      <charset val="222"/>
    </font>
    <font>
      <b/>
      <sz val="18"/>
      <color theme="1"/>
      <name val="Angsana New"/>
      <family val="3"/>
      <charset val="134"/>
    </font>
    <font>
      <b/>
      <sz val="18"/>
      <color theme="1"/>
      <name val="宋体"/>
      <family val="3"/>
      <charset val="134"/>
    </font>
    <font>
      <b/>
      <sz val="22"/>
      <color theme="1"/>
      <name val="宋体"/>
      <family val="3"/>
      <charset val="134"/>
    </font>
    <font>
      <b/>
      <sz val="24"/>
      <color theme="1"/>
      <name val="Angsana New"/>
      <family val="1"/>
      <charset val="222"/>
    </font>
    <font>
      <b/>
      <sz val="26"/>
      <color theme="1"/>
      <name val="宋体"/>
      <family val="3"/>
      <charset val="134"/>
    </font>
    <font>
      <b/>
      <sz val="26"/>
      <color theme="1"/>
      <name val="Angsana New"/>
      <family val="1"/>
    </font>
    <font>
      <sz val="28"/>
      <color theme="1"/>
      <name val="Angsana New"/>
      <family val="1"/>
      <charset val="134"/>
    </font>
    <font>
      <sz val="28"/>
      <color theme="1"/>
      <name val="Angsana New"/>
      <family val="1"/>
    </font>
    <font>
      <b/>
      <sz val="28"/>
      <color theme="1"/>
      <name val="Angsana New"/>
      <family val="1"/>
      <charset val="222"/>
    </font>
    <font>
      <b/>
      <sz val="28"/>
      <color theme="1"/>
      <name val="宋体"/>
      <family val="3"/>
      <charset val="134"/>
    </font>
    <font>
      <b/>
      <sz val="28"/>
      <color theme="1"/>
      <name val="Angsana New"/>
      <family val="3"/>
      <charset val="134"/>
    </font>
    <font>
      <sz val="20"/>
      <color theme="1"/>
      <name val="宋体"/>
      <family val="3"/>
      <charset val="134"/>
    </font>
    <font>
      <sz val="20"/>
      <color theme="1"/>
      <name val="Angsana New"/>
      <family val="1"/>
    </font>
    <font>
      <sz val="26"/>
      <color theme="1"/>
      <name val="Angsana New"/>
      <family val="1"/>
      <charset val="134"/>
    </font>
    <font>
      <sz val="24"/>
      <color theme="1"/>
      <name val="Calibri"/>
      <family val="2"/>
      <scheme val="minor"/>
    </font>
    <font>
      <b/>
      <sz val="28"/>
      <color theme="1"/>
      <name val="宋体"/>
    </font>
    <font>
      <b/>
      <sz val="24"/>
      <color theme="1"/>
      <name val="Angsana New"/>
      <family val="3"/>
      <charset val="134"/>
    </font>
    <font>
      <b/>
      <sz val="24"/>
      <color theme="1"/>
      <name val="宋体"/>
      <family val="3"/>
      <charset val="134"/>
    </font>
    <font>
      <sz val="20"/>
      <color theme="1"/>
      <name val="Angsana New"/>
      <family val="1"/>
      <charset val="134"/>
    </font>
    <font>
      <sz val="18"/>
      <color theme="1"/>
      <name val="宋体"/>
      <family val="3"/>
      <charset val="134"/>
    </font>
    <font>
      <b/>
      <sz val="22"/>
      <color theme="1"/>
      <name val="Leelawadee UI"/>
      <family val="2"/>
    </font>
    <font>
      <sz val="36"/>
      <color theme="1"/>
      <name val="Angsana New"/>
      <family val="1"/>
    </font>
    <font>
      <sz val="26"/>
      <color theme="1"/>
      <name val="Angsana New"/>
      <family val="1"/>
    </font>
    <font>
      <sz val="16"/>
      <color theme="1"/>
      <name val="Angsana New"/>
      <family val="1"/>
    </font>
    <font>
      <sz val="2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9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18" fillId="0" borderId="13" xfId="0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3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3" fontId="19" fillId="3" borderId="15" xfId="1" applyNumberFormat="1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0" fontId="18" fillId="0" borderId="22" xfId="2" applyNumberFormat="1" applyFont="1" applyBorder="1" applyAlignment="1">
      <alignment horizontal="center" vertical="center"/>
    </xf>
    <xf numFmtId="0" fontId="19" fillId="0" borderId="0" xfId="0" applyFont="1"/>
    <xf numFmtId="1" fontId="25" fillId="0" borderId="14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0" fontId="18" fillId="0" borderId="23" xfId="2" applyNumberFormat="1" applyFont="1" applyBorder="1" applyAlignment="1">
      <alignment horizontal="center" vertical="center"/>
    </xf>
    <xf numFmtId="3" fontId="18" fillId="0" borderId="14" xfId="0" applyNumberFormat="1" applyFont="1" applyBorder="1" applyAlignment="1">
      <alignment horizontal="center" vertical="center"/>
    </xf>
    <xf numFmtId="3" fontId="25" fillId="0" borderId="14" xfId="0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166" fontId="18" fillId="0" borderId="23" xfId="0" applyNumberFormat="1" applyFont="1" applyBorder="1" applyAlignment="1">
      <alignment horizontal="center" vertical="center"/>
    </xf>
    <xf numFmtId="164" fontId="4" fillId="0" borderId="0" xfId="0" applyNumberFormat="1" applyFont="1"/>
    <xf numFmtId="0" fontId="23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65" fontId="19" fillId="0" borderId="25" xfId="0" applyNumberFormat="1" applyFont="1" applyBorder="1" applyAlignment="1">
      <alignment horizontal="center" vertical="center"/>
    </xf>
    <xf numFmtId="165" fontId="19" fillId="0" borderId="23" xfId="0" applyNumberFormat="1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 wrapText="1"/>
    </xf>
    <xf numFmtId="2" fontId="19" fillId="0" borderId="23" xfId="0" applyNumberFormat="1" applyFont="1" applyBorder="1" applyAlignment="1">
      <alignment horizontal="center" vertical="center" wrapText="1"/>
    </xf>
    <xf numFmtId="2" fontId="19" fillId="0" borderId="2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10" fontId="19" fillId="0" borderId="23" xfId="2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3" fillId="0" borderId="39" xfId="0" applyFont="1" applyBorder="1" applyAlignment="1">
      <alignment horizontal="center" vertical="center" wrapText="1"/>
    </xf>
    <xf numFmtId="2" fontId="19" fillId="0" borderId="40" xfId="0" applyNumberFormat="1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167" fontId="4" fillId="0" borderId="0" xfId="2" applyNumberFormat="1" applyFont="1" applyAlignment="1"/>
    <xf numFmtId="0" fontId="35" fillId="0" borderId="0" xfId="0" applyFont="1"/>
    <xf numFmtId="3" fontId="4" fillId="0" borderId="0" xfId="0" applyNumberFormat="1" applyFont="1"/>
    <xf numFmtId="10" fontId="19" fillId="0" borderId="15" xfId="2" applyNumberFormat="1" applyFont="1" applyBorder="1" applyAlignment="1">
      <alignment horizontal="center"/>
    </xf>
    <xf numFmtId="10" fontId="19" fillId="0" borderId="23" xfId="2" applyNumberFormat="1" applyFont="1" applyBorder="1" applyAlignment="1">
      <alignment horizontal="center"/>
    </xf>
    <xf numFmtId="0" fontId="18" fillId="0" borderId="40" xfId="0" applyFont="1" applyBorder="1" applyAlignment="1">
      <alignment horizontal="center" vertical="center"/>
    </xf>
    <xf numFmtId="3" fontId="19" fillId="0" borderId="0" xfId="0" applyNumberFormat="1" applyFont="1"/>
    <xf numFmtId="2" fontId="4" fillId="0" borderId="0" xfId="0" applyNumberFormat="1" applyFont="1"/>
    <xf numFmtId="165" fontId="18" fillId="0" borderId="23" xfId="0" applyNumberFormat="1" applyFont="1" applyBorder="1" applyAlignment="1">
      <alignment horizontal="center" vertical="center"/>
    </xf>
    <xf numFmtId="3" fontId="35" fillId="0" borderId="0" xfId="0" applyNumberFormat="1" applyFont="1"/>
    <xf numFmtId="1" fontId="18" fillId="4" borderId="14" xfId="0" applyNumberFormat="1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3" fontId="18" fillId="4" borderId="14" xfId="0" applyNumberFormat="1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3" fontId="18" fillId="0" borderId="15" xfId="0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1" fontId="18" fillId="0" borderId="15" xfId="0" applyNumberFormat="1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" fontId="18" fillId="0" borderId="44" xfId="0" applyNumberFormat="1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3" fontId="18" fillId="0" borderId="29" xfId="0" applyNumberFormat="1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65" fontId="19" fillId="0" borderId="21" xfId="0" applyNumberFormat="1" applyFont="1" applyBorder="1" applyAlignment="1">
      <alignment horizontal="center" vertical="center"/>
    </xf>
    <xf numFmtId="165" fontId="19" fillId="0" borderId="2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2" fontId="18" fillId="0" borderId="21" xfId="0" applyNumberFormat="1" applyFont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/>
    </xf>
    <xf numFmtId="0" fontId="22" fillId="2" borderId="25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0" fontId="27" fillId="2" borderId="24" xfId="0" applyFont="1" applyFill="1" applyBorder="1" applyAlignment="1">
      <alignment horizontal="center" vertical="center"/>
    </xf>
    <xf numFmtId="0" fontId="27" fillId="2" borderId="25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/>
    </xf>
    <xf numFmtId="0" fontId="28" fillId="2" borderId="24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0" fontId="28" fillId="2" borderId="25" xfId="0" applyFont="1" applyFill="1" applyBorder="1" applyAlignment="1">
      <alignment horizontal="center" vertical="center"/>
    </xf>
    <xf numFmtId="0" fontId="26" fillId="0" borderId="30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0" fontId="26" fillId="0" borderId="31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3" fillId="0" borderId="21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9" fillId="2" borderId="24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horizontal="center" vertical="center" wrapText="1"/>
    </xf>
    <xf numFmtId="0" fontId="22" fillId="2" borderId="25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left" vertical="top" wrapText="1"/>
    </xf>
    <xf numFmtId="0" fontId="2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33" fillId="0" borderId="0" xfId="0" applyFont="1" applyAlignment="1">
      <alignment horizontal="left"/>
    </xf>
    <xf numFmtId="0" fontId="10" fillId="2" borderId="32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  <xf numFmtId="0" fontId="10" fillId="2" borderId="41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left" vertical="center" wrapText="1"/>
    </xf>
    <xf numFmtId="0" fontId="26" fillId="0" borderId="35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left" vertical="center" wrapText="1"/>
    </xf>
    <xf numFmtId="0" fontId="26" fillId="0" borderId="11" xfId="0" applyFont="1" applyBorder="1" applyAlignment="1">
      <alignment horizontal="left" vertical="center" wrapText="1"/>
    </xf>
    <xf numFmtId="0" fontId="26" fillId="0" borderId="43" xfId="0" applyFont="1" applyBorder="1" applyAlignment="1">
      <alignment horizontal="left" vertical="center" wrapText="1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26" fillId="0" borderId="4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30" xfId="0" applyFont="1" applyBorder="1" applyAlignment="1">
      <alignment horizontal="left" vertical="center" wrapText="1"/>
    </xf>
    <xf numFmtId="0" fontId="26" fillId="0" borderId="31" xfId="0" applyFont="1" applyBorder="1" applyAlignment="1">
      <alignment horizontal="left" vertical="center" wrapText="1"/>
    </xf>
    <xf numFmtId="0" fontId="26" fillId="0" borderId="30" xfId="0" applyFont="1" applyBorder="1" applyAlignment="1">
      <alignment horizontal="center" vertical="top" wrapText="1"/>
    </xf>
    <xf numFmtId="0" fontId="26" fillId="0" borderId="26" xfId="0" applyFont="1" applyBorder="1" applyAlignment="1">
      <alignment horizontal="center" vertical="top" wrapText="1"/>
    </xf>
    <xf numFmtId="0" fontId="26" fillId="0" borderId="27" xfId="0" applyFont="1" applyBorder="1" applyAlignment="1">
      <alignment horizontal="center" vertical="top" wrapText="1"/>
    </xf>
    <xf numFmtId="0" fontId="26" fillId="0" borderId="31" xfId="0" applyFont="1" applyBorder="1" applyAlignment="1">
      <alignment horizontal="center" vertical="top" wrapText="1"/>
    </xf>
    <xf numFmtId="0" fontId="26" fillId="0" borderId="28" xfId="0" applyFont="1" applyBorder="1" applyAlignment="1">
      <alignment horizontal="center" vertical="top" wrapText="1"/>
    </xf>
    <xf numFmtId="0" fontId="26" fillId="0" borderId="13" xfId="0" applyFont="1" applyBorder="1" applyAlignment="1">
      <alignment horizontal="center" vertical="top" wrapText="1"/>
    </xf>
    <xf numFmtId="0" fontId="26" fillId="0" borderId="15" xfId="0" applyFont="1" applyBorder="1" applyAlignment="1">
      <alignment horizontal="left" vertical="center"/>
    </xf>
    <xf numFmtId="0" fontId="10" fillId="2" borderId="4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36" fillId="0" borderId="20" xfId="0" applyFont="1" applyBorder="1" applyAlignment="1">
      <alignment horizontal="left" vertical="center"/>
    </xf>
    <xf numFmtId="0" fontId="36" fillId="0" borderId="15" xfId="0" applyFont="1" applyBorder="1" applyAlignment="1">
      <alignment horizontal="left" vertical="center"/>
    </xf>
    <xf numFmtId="0" fontId="36" fillId="0" borderId="13" xfId="0" applyFont="1" applyBorder="1" applyAlignment="1">
      <alignment horizontal="left" vertical="center" wrapText="1"/>
    </xf>
    <xf numFmtId="0" fontId="36" fillId="0" borderId="14" xfId="0" applyFont="1" applyBorder="1" applyAlignment="1">
      <alignment horizontal="left" vertical="center" wrapText="1"/>
    </xf>
    <xf numFmtId="0" fontId="36" fillId="0" borderId="20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left" vertical="center" wrapText="1"/>
    </xf>
    <xf numFmtId="0" fontId="36" fillId="0" borderId="26" xfId="0" applyFont="1" applyBorder="1" applyAlignment="1">
      <alignment horizontal="left" vertical="center" wrapText="1"/>
    </xf>
    <xf numFmtId="0" fontId="36" fillId="0" borderId="27" xfId="0" applyFont="1" applyBorder="1" applyAlignment="1">
      <alignment horizontal="left" vertical="center" wrapText="1"/>
    </xf>
    <xf numFmtId="0" fontId="36" fillId="0" borderId="28" xfId="0" applyFont="1" applyBorder="1" applyAlignment="1">
      <alignment horizontal="left" vertical="center" wrapText="1"/>
    </xf>
  </cellXfs>
  <cellStyles count="3">
    <cellStyle name="จุลภาค" xfId="1" builtinId="3"/>
    <cellStyle name="ปกติ" xfId="0" builtinId="0"/>
    <cellStyle name="เปอร์เซ็นต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181186</xdr:colOff>
      <xdr:row>0</xdr:row>
      <xdr:rowOff>160675</xdr:rowOff>
    </xdr:from>
    <xdr:to>
      <xdr:col>2</xdr:col>
      <xdr:colOff>820855</xdr:colOff>
      <xdr:row>0</xdr:row>
      <xdr:rowOff>1118909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186" y="160675"/>
          <a:ext cx="3381010" cy="9582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280667</xdr:colOff>
      <xdr:row>0</xdr:row>
      <xdr:rowOff>245810</xdr:rowOff>
    </xdr:from>
    <xdr:to>
      <xdr:col>2</xdr:col>
      <xdr:colOff>1289540</xdr:colOff>
      <xdr:row>0</xdr:row>
      <xdr:rowOff>1073429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667" y="245810"/>
          <a:ext cx="3763796" cy="82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267967</xdr:colOff>
      <xdr:row>0</xdr:row>
      <xdr:rowOff>182311</xdr:rowOff>
    </xdr:from>
    <xdr:to>
      <xdr:col>2</xdr:col>
      <xdr:colOff>514350</xdr:colOff>
      <xdr:row>0</xdr:row>
      <xdr:rowOff>1132441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967" y="182311"/>
          <a:ext cx="2995933" cy="9501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311150</xdr:colOff>
      <xdr:row>0</xdr:row>
      <xdr:rowOff>127000</xdr:rowOff>
    </xdr:from>
    <xdr:to>
      <xdr:col>2</xdr:col>
      <xdr:colOff>449249</xdr:colOff>
      <xdr:row>0</xdr:row>
      <xdr:rowOff>1092200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150" y="127000"/>
          <a:ext cx="2887649" cy="965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311149</xdr:colOff>
      <xdr:row>0</xdr:row>
      <xdr:rowOff>127000</xdr:rowOff>
    </xdr:from>
    <xdr:to>
      <xdr:col>2</xdr:col>
      <xdr:colOff>1351410</xdr:colOff>
      <xdr:row>0</xdr:row>
      <xdr:rowOff>1124575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149" y="127000"/>
          <a:ext cx="3791928" cy="9975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283724</xdr:colOff>
      <xdr:row>0</xdr:row>
      <xdr:rowOff>162128</xdr:rowOff>
    </xdr:from>
    <xdr:to>
      <xdr:col>2</xdr:col>
      <xdr:colOff>945745</xdr:colOff>
      <xdr:row>0</xdr:row>
      <xdr:rowOff>1059198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724" y="162128"/>
          <a:ext cx="3404681" cy="8970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245624</xdr:colOff>
      <xdr:row>0</xdr:row>
      <xdr:rowOff>63500</xdr:rowOff>
    </xdr:from>
    <xdr:to>
      <xdr:col>2</xdr:col>
      <xdr:colOff>1708150</xdr:colOff>
      <xdr:row>0</xdr:row>
      <xdr:rowOff>1184751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624" y="63500"/>
          <a:ext cx="4212076" cy="11212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273050</xdr:colOff>
      <xdr:row>0</xdr:row>
      <xdr:rowOff>107952</xdr:rowOff>
    </xdr:from>
    <xdr:to>
      <xdr:col>2</xdr:col>
      <xdr:colOff>932738</xdr:colOff>
      <xdr:row>0</xdr:row>
      <xdr:rowOff>1143000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107952"/>
          <a:ext cx="3409238" cy="10350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184152</xdr:rowOff>
    </xdr:from>
    <xdr:to>
      <xdr:col>2</xdr:col>
      <xdr:colOff>1092200</xdr:colOff>
      <xdr:row>0</xdr:row>
      <xdr:rowOff>1046535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184152"/>
          <a:ext cx="3549650" cy="86238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184152</xdr:rowOff>
    </xdr:from>
    <xdr:to>
      <xdr:col>2</xdr:col>
      <xdr:colOff>1092200</xdr:colOff>
      <xdr:row>0</xdr:row>
      <xdr:rowOff>1046535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184152"/>
          <a:ext cx="3549650" cy="8623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184152</xdr:rowOff>
    </xdr:from>
    <xdr:to>
      <xdr:col>2</xdr:col>
      <xdr:colOff>1092200</xdr:colOff>
      <xdr:row>0</xdr:row>
      <xdr:rowOff>1046535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184152"/>
          <a:ext cx="3549650" cy="86238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184152</xdr:rowOff>
    </xdr:from>
    <xdr:to>
      <xdr:col>2</xdr:col>
      <xdr:colOff>1092200</xdr:colOff>
      <xdr:row>0</xdr:row>
      <xdr:rowOff>1046535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184152"/>
          <a:ext cx="3549650" cy="86238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184152</xdr:rowOff>
    </xdr:from>
    <xdr:to>
      <xdr:col>2</xdr:col>
      <xdr:colOff>1092200</xdr:colOff>
      <xdr:row>0</xdr:row>
      <xdr:rowOff>1046535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184152"/>
          <a:ext cx="3549650" cy="86238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0</xdr:row>
      <xdr:rowOff>228601</xdr:rowOff>
    </xdr:from>
    <xdr:to>
      <xdr:col>2</xdr:col>
      <xdr:colOff>781459</xdr:colOff>
      <xdr:row>0</xdr:row>
      <xdr:rowOff>1092201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228601"/>
          <a:ext cx="3175409" cy="8636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241300</xdr:rowOff>
    </xdr:from>
    <xdr:to>
      <xdr:col>2</xdr:col>
      <xdr:colOff>1515753</xdr:colOff>
      <xdr:row>0</xdr:row>
      <xdr:rowOff>1111250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50" y="241300"/>
          <a:ext cx="4004953" cy="8699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158750</xdr:rowOff>
    </xdr:from>
    <xdr:to>
      <xdr:col>2</xdr:col>
      <xdr:colOff>1206500</xdr:colOff>
      <xdr:row>0</xdr:row>
      <xdr:rowOff>1076920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58750"/>
          <a:ext cx="3575050" cy="9181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139700</xdr:rowOff>
    </xdr:from>
    <xdr:to>
      <xdr:col>2</xdr:col>
      <xdr:colOff>1022350</xdr:colOff>
      <xdr:row>0</xdr:row>
      <xdr:rowOff>1122396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139700"/>
          <a:ext cx="3454400" cy="98269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463550</xdr:colOff>
      <xdr:row>0</xdr:row>
      <xdr:rowOff>146051</xdr:rowOff>
    </xdr:from>
    <xdr:to>
      <xdr:col>2</xdr:col>
      <xdr:colOff>1612900</xdr:colOff>
      <xdr:row>0</xdr:row>
      <xdr:rowOff>1143970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550" y="146051"/>
          <a:ext cx="3898900" cy="99791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463550</xdr:colOff>
      <xdr:row>0</xdr:row>
      <xdr:rowOff>146051</xdr:rowOff>
    </xdr:from>
    <xdr:to>
      <xdr:col>2</xdr:col>
      <xdr:colOff>1612900</xdr:colOff>
      <xdr:row>0</xdr:row>
      <xdr:rowOff>1143970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550" y="146051"/>
          <a:ext cx="3898900" cy="99791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330199</xdr:colOff>
      <xdr:row>0</xdr:row>
      <xdr:rowOff>165100</xdr:rowOff>
    </xdr:from>
    <xdr:to>
      <xdr:col>2</xdr:col>
      <xdr:colOff>1327894</xdr:colOff>
      <xdr:row>0</xdr:row>
      <xdr:rowOff>1136650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199" y="165100"/>
          <a:ext cx="3747245" cy="9715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336551</xdr:colOff>
      <xdr:row>0</xdr:row>
      <xdr:rowOff>184151</xdr:rowOff>
    </xdr:from>
    <xdr:to>
      <xdr:col>2</xdr:col>
      <xdr:colOff>1395179</xdr:colOff>
      <xdr:row>0</xdr:row>
      <xdr:rowOff>1092200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51" y="184151"/>
          <a:ext cx="3808178" cy="90804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311756</xdr:colOff>
      <xdr:row>0</xdr:row>
      <xdr:rowOff>222250</xdr:rowOff>
    </xdr:from>
    <xdr:to>
      <xdr:col>2</xdr:col>
      <xdr:colOff>1625600</xdr:colOff>
      <xdr:row>0</xdr:row>
      <xdr:rowOff>1085850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756" y="222250"/>
          <a:ext cx="4063394" cy="86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opLeftCell="G22" zoomScale="41" zoomScaleNormal="41" workbookViewId="0">
      <selection activeCell="Q14" sqref="Q14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138100000559</v>
      </c>
      <c r="D5" s="12" t="s">
        <v>14</v>
      </c>
      <c r="E5" s="13">
        <v>329662</v>
      </c>
      <c r="F5" s="12">
        <v>58</v>
      </c>
      <c r="G5" s="14" t="s">
        <v>15</v>
      </c>
      <c r="H5" s="15">
        <v>326532</v>
      </c>
      <c r="I5" s="16">
        <v>58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138100000561</v>
      </c>
      <c r="D6" s="12" t="s">
        <v>78</v>
      </c>
      <c r="E6" s="19">
        <v>17225</v>
      </c>
      <c r="F6" s="12">
        <v>3</v>
      </c>
      <c r="G6" s="18" t="s">
        <v>77</v>
      </c>
      <c r="H6" s="19">
        <v>17040</v>
      </c>
      <c r="I6" s="14">
        <v>3</v>
      </c>
      <c r="J6" s="99" t="s">
        <v>16</v>
      </c>
      <c r="K6" s="100"/>
      <c r="L6" s="101">
        <v>16.806000000000001</v>
      </c>
      <c r="M6" s="102"/>
      <c r="N6" s="20" t="s">
        <v>17</v>
      </c>
      <c r="O6" s="21">
        <f>(O9-L6)/O9</f>
        <v>0.95338684536059604</v>
      </c>
      <c r="Q6" s="22"/>
    </row>
    <row r="7" spans="1:17" ht="64.349999999999994" customHeight="1">
      <c r="A7" s="108"/>
      <c r="B7" s="10">
        <v>3</v>
      </c>
      <c r="C7" s="11">
        <v>138100000557</v>
      </c>
      <c r="D7" s="18" t="s">
        <v>82</v>
      </c>
      <c r="E7" s="19">
        <v>17187</v>
      </c>
      <c r="F7" s="12">
        <v>3</v>
      </c>
      <c r="G7" s="12" t="s">
        <v>83</v>
      </c>
      <c r="H7" s="19">
        <v>16970</v>
      </c>
      <c r="I7" s="14">
        <v>3</v>
      </c>
      <c r="J7" s="99" t="s">
        <v>18</v>
      </c>
      <c r="K7" s="100"/>
      <c r="L7" s="101">
        <v>16.806000000000001</v>
      </c>
      <c r="M7" s="102"/>
      <c r="N7" s="26" t="s">
        <v>19</v>
      </c>
      <c r="O7" s="27">
        <f>(O10-L7)/O10</f>
        <v>0.95338684536059604</v>
      </c>
    </row>
    <row r="8" spans="1:17" ht="64.349999999999994" customHeight="1">
      <c r="A8" s="108"/>
      <c r="B8" s="17"/>
      <c r="C8" s="23"/>
      <c r="D8" s="24"/>
      <c r="E8" s="19"/>
      <c r="F8" s="12"/>
      <c r="G8" s="25"/>
      <c r="H8" s="19"/>
      <c r="I8" s="14"/>
      <c r="J8" s="121" t="s">
        <v>20</v>
      </c>
      <c r="K8" s="122"/>
      <c r="L8" s="122"/>
      <c r="M8" s="123"/>
      <c r="N8" s="124" t="s">
        <v>21</v>
      </c>
      <c r="O8" s="125"/>
    </row>
    <row r="9" spans="1:17" ht="64.349999999999994" customHeight="1">
      <c r="A9" s="108"/>
      <c r="B9" s="17"/>
      <c r="C9" s="23"/>
      <c r="D9" s="24"/>
      <c r="E9" s="28"/>
      <c r="F9" s="18"/>
      <c r="G9" s="29"/>
      <c r="H9" s="28"/>
      <c r="I9" s="16"/>
      <c r="J9" s="99" t="s">
        <v>22</v>
      </c>
      <c r="K9" s="100"/>
      <c r="L9" s="101">
        <v>364.07400000000001</v>
      </c>
      <c r="M9" s="102"/>
      <c r="N9" s="30" t="s">
        <v>22</v>
      </c>
      <c r="O9" s="31">
        <v>360.54199999999997</v>
      </c>
      <c r="Q9" s="32"/>
    </row>
    <row r="10" spans="1:17" ht="64.349999999999994" customHeight="1">
      <c r="A10" s="108"/>
      <c r="B10" s="17"/>
      <c r="C10" s="23"/>
      <c r="D10" s="25"/>
      <c r="E10" s="28"/>
      <c r="F10" s="12"/>
      <c r="G10" s="25"/>
      <c r="H10" s="28"/>
      <c r="I10" s="14"/>
      <c r="J10" s="99" t="s">
        <v>23</v>
      </c>
      <c r="K10" s="100"/>
      <c r="L10" s="101">
        <v>364.07400000000001</v>
      </c>
      <c r="M10" s="102"/>
      <c r="N10" s="30" t="s">
        <v>23</v>
      </c>
      <c r="O10" s="31">
        <v>360.54199999999997</v>
      </c>
    </row>
    <row r="11" spans="1:17" ht="64.349999999999994" customHeight="1">
      <c r="A11" s="108"/>
      <c r="B11" s="17"/>
      <c r="C11" s="23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</row>
    <row r="12" spans="1:17" ht="64.349999999999994" customHeight="1">
      <c r="A12" s="108"/>
      <c r="B12" s="17"/>
      <c r="C12" s="23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O9/(9-I33)</f>
        <v>46.223333333333329</v>
      </c>
      <c r="M12" s="120"/>
      <c r="N12" s="33" t="s">
        <v>27</v>
      </c>
      <c r="O12" s="27">
        <f>(9-I33)/9</f>
        <v>0.8666666666666667</v>
      </c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46.223333333333329</v>
      </c>
      <c r="M13" s="120"/>
      <c r="N13" s="33" t="s">
        <v>29</v>
      </c>
      <c r="O13" s="27">
        <f>O46/L46</f>
        <v>0.8666666666666667</v>
      </c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</row>
    <row r="15" spans="1:17" ht="58.8" customHeight="1">
      <c r="A15" s="107" t="s">
        <v>31</v>
      </c>
      <c r="B15" s="127" t="s">
        <v>76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2573</v>
      </c>
      <c r="M15" s="132"/>
      <c r="N15" s="33" t="s">
        <v>35</v>
      </c>
      <c r="O15" s="36">
        <f>L15/L9</f>
        <v>7.0672445711586107</v>
      </c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6</v>
      </c>
      <c r="I16" s="35">
        <f>ROUND(H16/60,1)</f>
        <v>0.1</v>
      </c>
      <c r="J16" s="99" t="s">
        <v>36</v>
      </c>
      <c r="K16" s="100"/>
      <c r="L16" s="131">
        <v>2573</v>
      </c>
      <c r="M16" s="132"/>
      <c r="N16" s="33" t="s">
        <v>37</v>
      </c>
      <c r="O16" s="36">
        <f>L16/L10</f>
        <v>7.0672445711586107</v>
      </c>
    </row>
    <row r="17" spans="1:17" ht="58.8" customHeight="1">
      <c r="A17" s="108"/>
      <c r="B17" s="127" t="s">
        <v>79</v>
      </c>
      <c r="C17" s="127"/>
      <c r="D17" s="127"/>
      <c r="E17" s="127"/>
      <c r="F17" s="127"/>
      <c r="G17" s="128"/>
      <c r="H17" s="133">
        <v>5</v>
      </c>
      <c r="I17" s="133">
        <f t="shared" ref="I17:I23" si="0">ROUND(H17/60,1)</f>
        <v>0.1</v>
      </c>
      <c r="J17" s="135" t="s">
        <v>38</v>
      </c>
      <c r="K17" s="136"/>
      <c r="L17" s="136"/>
      <c r="M17" s="136"/>
      <c r="N17" s="136"/>
      <c r="O17" s="137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7</v>
      </c>
      <c r="M18" s="132"/>
      <c r="N18" s="33" t="s">
        <v>40</v>
      </c>
      <c r="O18" s="37">
        <f>L18/L9</f>
        <v>1.9226860473420239E-2</v>
      </c>
    </row>
    <row r="19" spans="1:17" ht="58.8" customHeight="1">
      <c r="A19" s="108"/>
      <c r="B19" s="127" t="s">
        <v>80</v>
      </c>
      <c r="C19" s="127"/>
      <c r="D19" s="127"/>
      <c r="E19" s="127"/>
      <c r="F19" s="127"/>
      <c r="G19" s="128"/>
      <c r="H19" s="133">
        <v>11</v>
      </c>
      <c r="I19" s="133">
        <f t="shared" si="0"/>
        <v>0.2</v>
      </c>
      <c r="J19" s="99" t="s">
        <v>41</v>
      </c>
      <c r="K19" s="100"/>
      <c r="L19" s="131">
        <v>7</v>
      </c>
      <c r="M19" s="132"/>
      <c r="N19" s="33" t="s">
        <v>42</v>
      </c>
      <c r="O19" s="38">
        <f>L19/L10</f>
        <v>1.9226860473420239E-2</v>
      </c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</row>
    <row r="21" spans="1:17" ht="58.8" customHeight="1">
      <c r="A21" s="108"/>
      <c r="B21" s="147" t="s">
        <v>84</v>
      </c>
      <c r="C21" s="148"/>
      <c r="D21" s="148"/>
      <c r="E21" s="148"/>
      <c r="F21" s="148"/>
      <c r="G21" s="149"/>
      <c r="H21" s="133">
        <v>15</v>
      </c>
      <c r="I21" s="133">
        <f t="shared" si="0"/>
        <v>0.3</v>
      </c>
      <c r="J21" s="99" t="s">
        <v>45</v>
      </c>
      <c r="K21" s="100"/>
      <c r="L21" s="131">
        <v>232</v>
      </c>
      <c r="M21" s="132"/>
      <c r="N21" s="30" t="s">
        <v>45</v>
      </c>
      <c r="O21" s="39">
        <v>256</v>
      </c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134"/>
      <c r="J22" s="99" t="s">
        <v>46</v>
      </c>
      <c r="K22" s="100"/>
      <c r="L22" s="131">
        <v>232</v>
      </c>
      <c r="M22" s="132"/>
      <c r="N22" s="30" t="s">
        <v>46</v>
      </c>
      <c r="O22" s="39">
        <v>256</v>
      </c>
    </row>
    <row r="23" spans="1:17" ht="58.8" customHeight="1">
      <c r="A23" s="108"/>
      <c r="B23" s="127" t="s">
        <v>81</v>
      </c>
      <c r="C23" s="127"/>
      <c r="D23" s="127"/>
      <c r="E23" s="127"/>
      <c r="F23" s="127"/>
      <c r="G23" s="128"/>
      <c r="H23" s="133">
        <v>30</v>
      </c>
      <c r="I23" s="133">
        <f t="shared" si="0"/>
        <v>0.5</v>
      </c>
      <c r="J23" s="138" t="s">
        <v>47</v>
      </c>
      <c r="K23" s="139"/>
      <c r="L23" s="139"/>
      <c r="M23" s="140"/>
      <c r="N23" s="141" t="s">
        <v>48</v>
      </c>
      <c r="O23" s="142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120</v>
      </c>
      <c r="M24" s="132"/>
      <c r="N24" s="30" t="s">
        <v>45</v>
      </c>
      <c r="O24" s="40"/>
    </row>
    <row r="25" spans="1:17" ht="58.8" customHeight="1">
      <c r="A25" s="108"/>
      <c r="B25" s="157"/>
      <c r="C25" s="157"/>
      <c r="D25" s="157"/>
      <c r="E25" s="157"/>
      <c r="F25" s="157"/>
      <c r="G25" s="158"/>
      <c r="H25" s="133"/>
      <c r="I25" s="133"/>
      <c r="J25" s="99" t="s">
        <v>46</v>
      </c>
      <c r="K25" s="100"/>
      <c r="L25" s="131">
        <v>120</v>
      </c>
      <c r="M25" s="132"/>
      <c r="N25" s="30" t="s">
        <v>46</v>
      </c>
      <c r="O25" s="40"/>
    </row>
    <row r="26" spans="1:17" ht="58.8" customHeight="1">
      <c r="A26" s="108"/>
      <c r="B26" s="159"/>
      <c r="C26" s="159"/>
      <c r="D26" s="159"/>
      <c r="E26" s="159"/>
      <c r="F26" s="159"/>
      <c r="G26" s="160"/>
      <c r="H26" s="134"/>
      <c r="I26" s="134"/>
      <c r="J26" s="117" t="s">
        <v>49</v>
      </c>
      <c r="K26" s="161"/>
      <c r="L26" s="161"/>
      <c r="M26" s="161"/>
      <c r="N26" s="161"/>
      <c r="O26" s="118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1202</v>
      </c>
      <c r="M27" s="156"/>
      <c r="N27" s="41" t="s">
        <v>51</v>
      </c>
      <c r="O27" s="42">
        <f>L27/L9</f>
        <v>3.3015266127215894</v>
      </c>
      <c r="Q27" s="22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v>1202</v>
      </c>
      <c r="M28" s="156"/>
      <c r="N28" s="41" t="s">
        <v>53</v>
      </c>
      <c r="O28" s="42">
        <f>L28/L10</f>
        <v>3.3015266127215894</v>
      </c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21</v>
      </c>
      <c r="M30" s="166"/>
      <c r="N30" s="166"/>
      <c r="O30" s="167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v>21</v>
      </c>
      <c r="M31" s="166"/>
      <c r="N31" s="166"/>
      <c r="O31" s="167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</row>
    <row r="33" spans="1:16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ROUND(I16+I17+I19+I21+I23+I25+I27+I29+I31,1)</f>
        <v>1.2</v>
      </c>
      <c r="J33" s="99" t="s">
        <v>34</v>
      </c>
      <c r="K33" s="100"/>
      <c r="L33" s="131">
        <v>14587</v>
      </c>
      <c r="M33" s="132"/>
      <c r="N33" s="33" t="s">
        <v>58</v>
      </c>
      <c r="O33" s="43">
        <f>L33/O9</f>
        <v>40.458531877007395</v>
      </c>
    </row>
    <row r="34" spans="1:16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v>14587</v>
      </c>
      <c r="M34" s="132"/>
      <c r="N34" s="33" t="s">
        <v>59</v>
      </c>
      <c r="O34" s="43">
        <f>L34/O10</f>
        <v>40.458531877007395</v>
      </c>
    </row>
    <row r="35" spans="1:16" ht="43.35" customHeight="1">
      <c r="A35" s="107" t="s">
        <v>60</v>
      </c>
      <c r="B35" s="199" t="s">
        <v>86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</row>
    <row r="36" spans="1:16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342</v>
      </c>
      <c r="M36" s="45">
        <v>342</v>
      </c>
      <c r="N36" s="65">
        <f>L36/1000/L9</f>
        <v>9.3936946884424599E-4</v>
      </c>
      <c r="O36" s="66">
        <f>M36/1000/L10</f>
        <v>9.3936946884424599E-4</v>
      </c>
      <c r="P36" s="44"/>
    </row>
    <row r="37" spans="1:16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160</v>
      </c>
      <c r="M37" s="45">
        <v>160</v>
      </c>
      <c r="N37" s="65">
        <f>L37/1000/L9</f>
        <v>4.3947109653531976E-4</v>
      </c>
      <c r="O37" s="66">
        <f>M37/1000/L10</f>
        <v>4.3947109653531976E-4</v>
      </c>
      <c r="P37" s="44"/>
    </row>
    <row r="38" spans="1:16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126</v>
      </c>
      <c r="M38" s="46">
        <v>126</v>
      </c>
      <c r="N38" s="65">
        <f>L38/1000/L9</f>
        <v>3.4608348852156431E-4</v>
      </c>
      <c r="O38" s="66">
        <f>M38/1000/L10</f>
        <v>3.4608348852156431E-4</v>
      </c>
      <c r="P38" s="44"/>
    </row>
    <row r="39" spans="1:16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628</v>
      </c>
      <c r="M39" s="132"/>
      <c r="N39" s="30" t="s">
        <v>66</v>
      </c>
      <c r="O39" s="47">
        <f>O9/L9</f>
        <v>0.99029867554398276</v>
      </c>
      <c r="P39" s="44"/>
    </row>
    <row r="40" spans="1:16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v>628</v>
      </c>
      <c r="M40" s="132"/>
      <c r="N40" s="30" t="s">
        <v>29</v>
      </c>
      <c r="O40" s="47">
        <f>(O10)/(L10-L22/1000)</f>
        <v>0.99093012901204369</v>
      </c>
      <c r="P40" s="48"/>
    </row>
    <row r="41" spans="1:16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</row>
    <row r="42" spans="1:16" ht="49.35" customHeight="1">
      <c r="A42" s="185" t="s">
        <v>68</v>
      </c>
      <c r="B42" s="188" t="s">
        <v>85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270</v>
      </c>
      <c r="M42" s="132"/>
      <c r="N42" s="33" t="s">
        <v>69</v>
      </c>
      <c r="O42" s="43">
        <f>L42/O9</f>
        <v>0.74887253080084992</v>
      </c>
      <c r="P42" s="48"/>
    </row>
    <row r="43" spans="1:16" ht="50.55" customHeight="1" thickBot="1">
      <c r="A43" s="186"/>
      <c r="B43" s="189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v>270</v>
      </c>
      <c r="M43" s="183"/>
      <c r="N43" s="49" t="s">
        <v>70</v>
      </c>
      <c r="O43" s="50">
        <f>L43/O10</f>
        <v>0.74887253080084992</v>
      </c>
      <c r="P43" s="48"/>
    </row>
    <row r="44" spans="1:16" ht="35.549999999999997" customHeight="1">
      <c r="A44" s="186"/>
      <c r="B44" s="189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</row>
    <row r="45" spans="1:16" ht="43.35" customHeight="1">
      <c r="A45" s="186"/>
      <c r="B45" s="189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9</v>
      </c>
      <c r="M45" s="132"/>
      <c r="N45" s="30" t="s">
        <v>73</v>
      </c>
      <c r="O45" s="39">
        <f>9-I33</f>
        <v>7.8</v>
      </c>
    </row>
    <row r="46" spans="1:16" ht="52.35" customHeight="1" thickBot="1">
      <c r="A46" s="187"/>
      <c r="B46" s="192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v>9</v>
      </c>
      <c r="M46" s="183"/>
      <c r="N46" s="51" t="s">
        <v>74</v>
      </c>
      <c r="O46" s="67">
        <v>7.8</v>
      </c>
    </row>
    <row r="47" spans="1:16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6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6" spans="1:12">
      <c r="E56" s="62"/>
    </row>
    <row r="59" spans="1:12">
      <c r="H59" s="64"/>
      <c r="I59" s="64"/>
      <c r="J59" s="64"/>
    </row>
    <row r="60" spans="1:12">
      <c r="H60" s="64"/>
      <c r="I60" s="64"/>
      <c r="J60" s="64"/>
    </row>
    <row r="61" spans="1:12">
      <c r="H61" s="64"/>
      <c r="I61" s="64"/>
      <c r="J61" s="64"/>
    </row>
    <row r="62" spans="1:12">
      <c r="H62" s="64"/>
      <c r="I62" s="64"/>
      <c r="J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J45:K45"/>
    <mergeCell ref="L45:M45"/>
    <mergeCell ref="J46:K46"/>
    <mergeCell ref="L46:M46"/>
    <mergeCell ref="A48:I48"/>
    <mergeCell ref="L24:M24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J26:O26"/>
    <mergeCell ref="B23:G24"/>
    <mergeCell ref="H23:H24"/>
    <mergeCell ref="I23:I24"/>
    <mergeCell ref="J23:M23"/>
    <mergeCell ref="N23:O23"/>
    <mergeCell ref="J24:K24"/>
    <mergeCell ref="L25:M25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3"/>
  <sheetViews>
    <sheetView topLeftCell="G25" zoomScale="45" zoomScaleNormal="45" workbookViewId="0">
      <selection activeCell="H10" sqref="H10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138100000557</v>
      </c>
      <c r="D5" s="18" t="s">
        <v>82</v>
      </c>
      <c r="E5" s="19">
        <v>23007</v>
      </c>
      <c r="F5" s="12">
        <v>4</v>
      </c>
      <c r="G5" s="12" t="s">
        <v>83</v>
      </c>
      <c r="H5" s="15">
        <v>22840</v>
      </c>
      <c r="I5" s="16">
        <v>4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138100000558</v>
      </c>
      <c r="D6" s="12" t="s">
        <v>88</v>
      </c>
      <c r="E6" s="19">
        <v>40197</v>
      </c>
      <c r="F6" s="12">
        <v>8</v>
      </c>
      <c r="G6" s="18" t="s">
        <v>87</v>
      </c>
      <c r="H6" s="19">
        <v>39800</v>
      </c>
      <c r="I6" s="14">
        <v>8</v>
      </c>
      <c r="J6" s="99" t="s">
        <v>16</v>
      </c>
      <c r="K6" s="100"/>
      <c r="L6" s="101">
        <v>5.798</v>
      </c>
      <c r="M6" s="102"/>
      <c r="N6" s="20" t="s">
        <v>17</v>
      </c>
      <c r="O6" s="21">
        <f>(O9-L6)/O9</f>
        <v>0.97851828798387575</v>
      </c>
      <c r="Q6" s="22"/>
    </row>
    <row r="7" spans="1:17" ht="64.349999999999994" customHeight="1">
      <c r="A7" s="108"/>
      <c r="B7" s="10">
        <v>3</v>
      </c>
      <c r="C7" s="11">
        <v>138100000568</v>
      </c>
      <c r="D7" s="18" t="s">
        <v>89</v>
      </c>
      <c r="E7" s="19">
        <v>104392</v>
      </c>
      <c r="F7" s="12">
        <v>23</v>
      </c>
      <c r="G7" s="12" t="s">
        <v>90</v>
      </c>
      <c r="H7" s="19">
        <v>102202</v>
      </c>
      <c r="I7" s="14">
        <v>23</v>
      </c>
      <c r="J7" s="99" t="s">
        <v>18</v>
      </c>
      <c r="K7" s="100"/>
      <c r="L7" s="101">
        <f>L6+'01-05-26'!L7:M7</f>
        <v>22.603999999999999</v>
      </c>
      <c r="M7" s="102"/>
      <c r="N7" s="26" t="s">
        <v>19</v>
      </c>
      <c r="O7" s="27">
        <f>(O10-L7)/O10</f>
        <v>0.96414601726396865</v>
      </c>
    </row>
    <row r="8" spans="1:17" ht="64.349999999999994" customHeight="1">
      <c r="A8" s="108"/>
      <c r="B8" s="17">
        <v>4</v>
      </c>
      <c r="C8" s="11">
        <v>138100000539</v>
      </c>
      <c r="D8" s="18" t="s">
        <v>91</v>
      </c>
      <c r="E8" s="15">
        <v>49153</v>
      </c>
      <c r="F8" s="12">
        <v>9</v>
      </c>
      <c r="G8" s="12" t="s">
        <v>92</v>
      </c>
      <c r="H8" s="19">
        <v>48444</v>
      </c>
      <c r="I8" s="14">
        <v>9</v>
      </c>
      <c r="J8" s="121" t="s">
        <v>20</v>
      </c>
      <c r="K8" s="122"/>
      <c r="L8" s="122"/>
      <c r="M8" s="123"/>
      <c r="N8" s="124" t="s">
        <v>21</v>
      </c>
      <c r="O8" s="125"/>
    </row>
    <row r="9" spans="1:17" ht="64.349999999999994" customHeight="1">
      <c r="A9" s="108"/>
      <c r="B9" s="10">
        <v>5</v>
      </c>
      <c r="C9" s="11">
        <v>138100000540</v>
      </c>
      <c r="D9" s="18" t="s">
        <v>97</v>
      </c>
      <c r="E9" s="19">
        <v>20476</v>
      </c>
      <c r="F9" s="18">
        <v>4</v>
      </c>
      <c r="G9" s="28" t="s">
        <v>98</v>
      </c>
      <c r="H9" s="28">
        <v>20232</v>
      </c>
      <c r="I9" s="16">
        <v>4</v>
      </c>
      <c r="J9" s="99" t="s">
        <v>22</v>
      </c>
      <c r="K9" s="100"/>
      <c r="L9" s="101">
        <v>273.89800000000002</v>
      </c>
      <c r="M9" s="102"/>
      <c r="N9" s="30" t="s">
        <v>22</v>
      </c>
      <c r="O9" s="31">
        <v>269.904</v>
      </c>
      <c r="Q9" s="32"/>
    </row>
    <row r="10" spans="1:17" ht="64.349999999999994" customHeight="1">
      <c r="A10" s="108"/>
      <c r="B10" s="10">
        <v>6</v>
      </c>
      <c r="C10" s="11">
        <v>138100000541</v>
      </c>
      <c r="D10" s="18" t="s">
        <v>97</v>
      </c>
      <c r="E10" s="28">
        <v>36673</v>
      </c>
      <c r="F10" s="12">
        <v>7</v>
      </c>
      <c r="G10" s="28" t="s">
        <v>98</v>
      </c>
      <c r="H10" s="28">
        <v>36386</v>
      </c>
      <c r="I10" s="14">
        <v>7</v>
      </c>
      <c r="J10" s="99" t="s">
        <v>23</v>
      </c>
      <c r="K10" s="100"/>
      <c r="L10" s="101">
        <f>L9+'01-05-26'!L10:M10</f>
        <v>637.97199999999998</v>
      </c>
      <c r="M10" s="102"/>
      <c r="N10" s="30" t="s">
        <v>23</v>
      </c>
      <c r="O10" s="31">
        <f>O9+'01-05-26'!O10</f>
        <v>630.44599999999991</v>
      </c>
    </row>
    <row r="11" spans="1:17" ht="64.349999999999994" customHeight="1">
      <c r="A11" s="108"/>
      <c r="B11" s="17"/>
      <c r="C11" s="23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</row>
    <row r="12" spans="1:17" ht="64.349999999999994" customHeight="1">
      <c r="A12" s="108"/>
      <c r="B12" s="17"/>
      <c r="C12" s="23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O9/(8-I33)</f>
        <v>40.894545454545458</v>
      </c>
      <c r="M12" s="120"/>
      <c r="N12" s="33" t="s">
        <v>27</v>
      </c>
      <c r="O12" s="27">
        <f>(8-I33)/8</f>
        <v>0.82499999999999996</v>
      </c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43.780972222222218</v>
      </c>
      <c r="M13" s="120"/>
      <c r="N13" s="33" t="s">
        <v>29</v>
      </c>
      <c r="O13" s="27">
        <f>O46/L46</f>
        <v>0.84705882352941175</v>
      </c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</row>
    <row r="15" spans="1:17" ht="58.8" customHeight="1">
      <c r="A15" s="107" t="s">
        <v>31</v>
      </c>
      <c r="B15" s="127" t="s">
        <v>93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2537</v>
      </c>
      <c r="M15" s="132"/>
      <c r="N15" s="33" t="s">
        <v>35</v>
      </c>
      <c r="O15" s="36">
        <f>L15/L9</f>
        <v>9.262572198409627</v>
      </c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5</v>
      </c>
      <c r="I16" s="35">
        <f>ROUND(H16/60,1)</f>
        <v>0.1</v>
      </c>
      <c r="J16" s="99" t="s">
        <v>36</v>
      </c>
      <c r="K16" s="100"/>
      <c r="L16" s="131">
        <f>L15+'01-05-26'!L16:M16</f>
        <v>5110</v>
      </c>
      <c r="M16" s="132"/>
      <c r="N16" s="33" t="s">
        <v>37</v>
      </c>
      <c r="O16" s="36">
        <f>L16/L10</f>
        <v>8.0097559140526542</v>
      </c>
    </row>
    <row r="17" spans="1:17" ht="58.8" customHeight="1">
      <c r="A17" s="108"/>
      <c r="B17" s="127" t="s">
        <v>95</v>
      </c>
      <c r="C17" s="127"/>
      <c r="D17" s="127"/>
      <c r="E17" s="127"/>
      <c r="F17" s="127"/>
      <c r="G17" s="128"/>
      <c r="H17" s="133">
        <v>34</v>
      </c>
      <c r="I17" s="133">
        <f t="shared" ref="I17:I21" si="0">ROUND(H17/60,1)</f>
        <v>0.6</v>
      </c>
      <c r="J17" s="135" t="s">
        <v>38</v>
      </c>
      <c r="K17" s="136"/>
      <c r="L17" s="136"/>
      <c r="M17" s="136"/>
      <c r="N17" s="136"/>
      <c r="O17" s="137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4</v>
      </c>
      <c r="M18" s="132"/>
      <c r="N18" s="33" t="s">
        <v>40</v>
      </c>
      <c r="O18" s="37">
        <f>L18/L9</f>
        <v>1.4603976662845292E-2</v>
      </c>
    </row>
    <row r="19" spans="1:17" ht="58.8" customHeight="1">
      <c r="A19" s="108"/>
      <c r="B19" s="127" t="s">
        <v>94</v>
      </c>
      <c r="C19" s="127"/>
      <c r="D19" s="127"/>
      <c r="E19" s="127"/>
      <c r="F19" s="127"/>
      <c r="G19" s="128"/>
      <c r="H19" s="133">
        <v>22</v>
      </c>
      <c r="I19" s="133">
        <f t="shared" si="0"/>
        <v>0.4</v>
      </c>
      <c r="J19" s="99" t="s">
        <v>41</v>
      </c>
      <c r="K19" s="100"/>
      <c r="L19" s="131">
        <f>L18+'01-05-26'!L19:M19</f>
        <v>11</v>
      </c>
      <c r="M19" s="132"/>
      <c r="N19" s="33" t="s">
        <v>42</v>
      </c>
      <c r="O19" s="38">
        <f>L19/L10</f>
        <v>1.7242136018508651E-2</v>
      </c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</row>
    <row r="21" spans="1:17" ht="58.8" customHeight="1">
      <c r="A21" s="108"/>
      <c r="B21" s="147" t="s">
        <v>96</v>
      </c>
      <c r="C21" s="148"/>
      <c r="D21" s="148"/>
      <c r="E21" s="148"/>
      <c r="F21" s="148"/>
      <c r="G21" s="149"/>
      <c r="H21" s="133">
        <v>16</v>
      </c>
      <c r="I21" s="133">
        <f t="shared" si="0"/>
        <v>0.3</v>
      </c>
      <c r="J21" s="99" t="s">
        <v>45</v>
      </c>
      <c r="K21" s="100"/>
      <c r="L21" s="131">
        <v>266</v>
      </c>
      <c r="M21" s="132"/>
      <c r="N21" s="30" t="s">
        <v>45</v>
      </c>
      <c r="O21" s="39">
        <v>284</v>
      </c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134"/>
      <c r="J22" s="99" t="s">
        <v>46</v>
      </c>
      <c r="K22" s="100"/>
      <c r="L22" s="131">
        <f>L21+'01-05-26'!L22:M22</f>
        <v>498</v>
      </c>
      <c r="M22" s="132"/>
      <c r="N22" s="30" t="s">
        <v>46</v>
      </c>
      <c r="O22" s="39">
        <f>O21+'01-05-26'!O22</f>
        <v>540</v>
      </c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196</v>
      </c>
      <c r="M24" s="132"/>
      <c r="N24" s="30" t="s">
        <v>45</v>
      </c>
      <c r="O24" s="40"/>
    </row>
    <row r="25" spans="1:17" ht="58.8" customHeight="1">
      <c r="A25" s="108"/>
      <c r="B25" s="157"/>
      <c r="C25" s="157"/>
      <c r="D25" s="157"/>
      <c r="E25" s="157"/>
      <c r="F25" s="157"/>
      <c r="G25" s="158"/>
      <c r="H25" s="133"/>
      <c r="I25" s="133"/>
      <c r="J25" s="99" t="s">
        <v>46</v>
      </c>
      <c r="K25" s="100"/>
      <c r="L25" s="131">
        <f>L24+'01-05-26'!L25:M25</f>
        <v>316</v>
      </c>
      <c r="M25" s="132"/>
      <c r="N25" s="30" t="s">
        <v>46</v>
      </c>
      <c r="O25" s="40"/>
    </row>
    <row r="26" spans="1:17" ht="58.8" customHeight="1">
      <c r="A26" s="108"/>
      <c r="B26" s="159"/>
      <c r="C26" s="159"/>
      <c r="D26" s="159"/>
      <c r="E26" s="159"/>
      <c r="F26" s="159"/>
      <c r="G26" s="160"/>
      <c r="H26" s="134"/>
      <c r="I26" s="134"/>
      <c r="J26" s="117" t="s">
        <v>49</v>
      </c>
      <c r="K26" s="161"/>
      <c r="L26" s="161"/>
      <c r="M26" s="161"/>
      <c r="N26" s="161"/>
      <c r="O26" s="118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1168</v>
      </c>
      <c r="M27" s="156"/>
      <c r="N27" s="41" t="s">
        <v>51</v>
      </c>
      <c r="O27" s="42">
        <f>L27/L9</f>
        <v>4.2643611855508254</v>
      </c>
      <c r="Q27" s="22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L27+'01-05-26'!L28:M28</f>
        <v>2370</v>
      </c>
      <c r="M28" s="156"/>
      <c r="N28" s="41" t="s">
        <v>53</v>
      </c>
      <c r="O28" s="42">
        <f>L28/L10</f>
        <v>3.7148965785332271</v>
      </c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12</v>
      </c>
      <c r="M30" s="166"/>
      <c r="N30" s="166"/>
      <c r="O30" s="167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L30+'01-05-26'!L31:O31</f>
        <v>33</v>
      </c>
      <c r="M31" s="166"/>
      <c r="N31" s="166"/>
      <c r="O31" s="167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</row>
    <row r="33" spans="1:16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ROUND(I16+I17+I19+I21+I23+I25+I27+I29+I31,1)</f>
        <v>1.4</v>
      </c>
      <c r="J33" s="99" t="s">
        <v>34</v>
      </c>
      <c r="K33" s="100"/>
      <c r="L33" s="131">
        <v>12198</v>
      </c>
      <c r="M33" s="132"/>
      <c r="N33" s="33" t="s">
        <v>58</v>
      </c>
      <c r="O33" s="43">
        <f>L33/O9</f>
        <v>45.19384670104926</v>
      </c>
    </row>
    <row r="34" spans="1:16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L33+'01-05-26'!L34:M34</f>
        <v>26785</v>
      </c>
      <c r="M34" s="132"/>
      <c r="N34" s="33" t="s">
        <v>59</v>
      </c>
      <c r="O34" s="43">
        <f>L34/O10</f>
        <v>42.485795769978722</v>
      </c>
    </row>
    <row r="35" spans="1:16" ht="43.35" customHeight="1">
      <c r="A35" s="107" t="s">
        <v>60</v>
      </c>
      <c r="B35" s="199" t="s">
        <v>99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</row>
    <row r="36" spans="1:16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776</v>
      </c>
      <c r="M36" s="45">
        <f>L36+'01-05-26'!M36</f>
        <v>1118</v>
      </c>
      <c r="N36" s="65">
        <f>L36/1000/L9</f>
        <v>2.8331714725919866E-3</v>
      </c>
      <c r="O36" s="66">
        <f>M36/1000/L10</f>
        <v>1.7524280062447884E-3</v>
      </c>
      <c r="P36" s="44"/>
    </row>
    <row r="37" spans="1:16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604</v>
      </c>
      <c r="M37" s="45">
        <f>L37+'01-05-26'!M37</f>
        <v>764</v>
      </c>
      <c r="N37" s="65">
        <f>L37/1000/L9</f>
        <v>2.2052004760896391E-3</v>
      </c>
      <c r="O37" s="66">
        <f>M37/1000/L10</f>
        <v>1.1975447198309644E-3</v>
      </c>
      <c r="P37" s="44"/>
    </row>
    <row r="38" spans="1:16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506</v>
      </c>
      <c r="M38" s="46">
        <f>L38+'01-05-26'!M38</f>
        <v>632</v>
      </c>
      <c r="N38" s="65">
        <f>L38/1000/L9</f>
        <v>1.8474030478499294E-3</v>
      </c>
      <c r="O38" s="66">
        <f>M38/1000/L10</f>
        <v>9.9063908760886068E-4</v>
      </c>
      <c r="P38" s="44"/>
    </row>
    <row r="39" spans="1:16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1886</v>
      </c>
      <c r="M39" s="132"/>
      <c r="N39" s="30" t="s">
        <v>66</v>
      </c>
      <c r="O39" s="47">
        <f>O9/L9</f>
        <v>0.98541792930214889</v>
      </c>
      <c r="P39" s="44"/>
    </row>
    <row r="40" spans="1:16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f>L39+'01-05-26'!L40:M40</f>
        <v>2514</v>
      </c>
      <c r="M40" s="132"/>
      <c r="N40" s="30" t="s">
        <v>29</v>
      </c>
      <c r="O40" s="47">
        <f>(O10)/(L10-L22/1000)</f>
        <v>0.98897523663710207</v>
      </c>
      <c r="P40" s="48"/>
    </row>
    <row r="41" spans="1:16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</row>
    <row r="42" spans="1:16" ht="49.35" customHeight="1">
      <c r="A42" s="107" t="s">
        <v>68</v>
      </c>
      <c r="B42" s="127" t="s">
        <v>100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80</v>
      </c>
      <c r="M42" s="132"/>
      <c r="N42" s="33" t="s">
        <v>69</v>
      </c>
      <c r="O42" s="43">
        <f>L42/O9</f>
        <v>0.29640168356156266</v>
      </c>
      <c r="P42" s="48"/>
    </row>
    <row r="43" spans="1:16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L42+'01-05-26'!L43:M43</f>
        <v>350</v>
      </c>
      <c r="M43" s="183"/>
      <c r="N43" s="49" t="s">
        <v>70</v>
      </c>
      <c r="O43" s="50">
        <f>L43/O10</f>
        <v>0.55516253572867469</v>
      </c>
      <c r="P43" s="48"/>
    </row>
    <row r="44" spans="1:16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</row>
    <row r="45" spans="1:16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8</v>
      </c>
      <c r="M45" s="132"/>
      <c r="N45" s="30" t="s">
        <v>73</v>
      </c>
      <c r="O45" s="39">
        <f>8-I33</f>
        <v>6.6</v>
      </c>
    </row>
    <row r="46" spans="1:16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L45+'01-05-26'!L46:M46</f>
        <v>17</v>
      </c>
      <c r="M46" s="183"/>
      <c r="N46" s="51" t="s">
        <v>74</v>
      </c>
      <c r="O46" s="67">
        <f>ROUND(L46-I33-'01-05-26'!I33,1)</f>
        <v>14.4</v>
      </c>
    </row>
    <row r="47" spans="1:16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6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6" spans="1:12">
      <c r="E56" s="62"/>
    </row>
    <row r="59" spans="1:12">
      <c r="H59" s="64"/>
      <c r="I59" s="64"/>
      <c r="J59" s="64"/>
    </row>
    <row r="60" spans="1:12">
      <c r="H60" s="64"/>
      <c r="I60" s="64"/>
      <c r="J60" s="64"/>
    </row>
    <row r="61" spans="1:12">
      <c r="H61" s="64"/>
      <c r="I61" s="64"/>
      <c r="J61" s="64"/>
    </row>
    <row r="62" spans="1:12">
      <c r="H62" s="64"/>
      <c r="I62" s="64"/>
      <c r="J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J45:K45"/>
    <mergeCell ref="L45:M45"/>
    <mergeCell ref="J46:K46"/>
    <mergeCell ref="L46:M46"/>
    <mergeCell ref="A48:I48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3"/>
  <sheetViews>
    <sheetView topLeftCell="J22" zoomScale="52" zoomScaleNormal="52" workbookViewId="0">
      <selection activeCell="H5" sqref="H5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138100000541</v>
      </c>
      <c r="D5" s="18" t="s">
        <v>97</v>
      </c>
      <c r="E5" s="28">
        <v>141533</v>
      </c>
      <c r="F5" s="12">
        <v>27</v>
      </c>
      <c r="G5" s="28" t="s">
        <v>98</v>
      </c>
      <c r="H5" s="28">
        <v>140408</v>
      </c>
      <c r="I5" s="16">
        <v>27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138100000542</v>
      </c>
      <c r="D6" s="12" t="s">
        <v>101</v>
      </c>
      <c r="E6" s="19">
        <v>188794</v>
      </c>
      <c r="F6" s="12">
        <v>36</v>
      </c>
      <c r="G6" s="18" t="s">
        <v>102</v>
      </c>
      <c r="H6" s="19">
        <v>187388</v>
      </c>
      <c r="I6" s="14">
        <v>36</v>
      </c>
      <c r="J6" s="99" t="s">
        <v>16</v>
      </c>
      <c r="K6" s="100"/>
      <c r="L6" s="101">
        <v>15.756</v>
      </c>
      <c r="M6" s="102"/>
      <c r="N6" s="20" t="s">
        <v>17</v>
      </c>
      <c r="O6" s="21">
        <f>(O9-L6)/O9</f>
        <v>0.9601535590185577</v>
      </c>
      <c r="Q6" s="22"/>
    </row>
    <row r="7" spans="1:17" ht="64.349999999999994" customHeight="1">
      <c r="A7" s="108"/>
      <c r="B7" s="10">
        <v>3</v>
      </c>
      <c r="C7" s="11">
        <v>138100000543</v>
      </c>
      <c r="D7" s="18" t="s">
        <v>101</v>
      </c>
      <c r="E7" s="19">
        <v>68172</v>
      </c>
      <c r="F7" s="12">
        <v>13</v>
      </c>
      <c r="G7" s="12" t="s">
        <v>108</v>
      </c>
      <c r="H7" s="19">
        <v>67622</v>
      </c>
      <c r="I7" s="14">
        <v>13</v>
      </c>
      <c r="J7" s="99" t="s">
        <v>18</v>
      </c>
      <c r="K7" s="100"/>
      <c r="L7" s="101">
        <f>L6+'02-05-26'!L7:M7</f>
        <v>38.36</v>
      </c>
      <c r="M7" s="102"/>
      <c r="N7" s="26" t="s">
        <v>19</v>
      </c>
      <c r="O7" s="27">
        <f>(O10-L7)/O10</f>
        <v>0.96260712921010971</v>
      </c>
    </row>
    <row r="8" spans="1:17" ht="64.349999999999994" customHeight="1">
      <c r="A8" s="108"/>
      <c r="B8" s="17"/>
      <c r="C8" s="11"/>
      <c r="D8" s="18"/>
      <c r="E8" s="15"/>
      <c r="F8" s="12"/>
      <c r="G8" s="12"/>
      <c r="H8" s="19"/>
      <c r="I8" s="14"/>
      <c r="J8" s="121" t="s">
        <v>20</v>
      </c>
      <c r="K8" s="122"/>
      <c r="L8" s="122"/>
      <c r="M8" s="123"/>
      <c r="N8" s="124" t="s">
        <v>21</v>
      </c>
      <c r="O8" s="125"/>
    </row>
    <row r="9" spans="1:17" ht="64.349999999999994" customHeight="1">
      <c r="A9" s="108"/>
      <c r="B9" s="10"/>
      <c r="C9" s="11"/>
      <c r="D9" s="18"/>
      <c r="E9" s="19"/>
      <c r="F9" s="18"/>
      <c r="G9" s="28"/>
      <c r="H9" s="28"/>
      <c r="I9" s="16"/>
      <c r="J9" s="99" t="s">
        <v>22</v>
      </c>
      <c r="K9" s="100"/>
      <c r="L9" s="101">
        <v>398.49900000000002</v>
      </c>
      <c r="M9" s="102"/>
      <c r="N9" s="30" t="s">
        <v>22</v>
      </c>
      <c r="O9" s="31">
        <v>395.41800000000001</v>
      </c>
      <c r="Q9" s="32"/>
    </row>
    <row r="10" spans="1:17" ht="64.349999999999994" customHeight="1">
      <c r="A10" s="108"/>
      <c r="B10" s="10"/>
      <c r="C10" s="11"/>
      <c r="D10" s="18"/>
      <c r="E10" s="28"/>
      <c r="F10" s="12"/>
      <c r="G10" s="28"/>
      <c r="H10" s="28"/>
      <c r="I10" s="14"/>
      <c r="J10" s="99" t="s">
        <v>23</v>
      </c>
      <c r="K10" s="100"/>
      <c r="L10" s="101">
        <f>L9+'02-05-26'!L10:M10</f>
        <v>1036.471</v>
      </c>
      <c r="M10" s="102"/>
      <c r="N10" s="30" t="s">
        <v>23</v>
      </c>
      <c r="O10" s="31">
        <f>O9+'02-05-26'!O10</f>
        <v>1025.864</v>
      </c>
    </row>
    <row r="11" spans="1:17" ht="64.349999999999994" customHeight="1">
      <c r="A11" s="108"/>
      <c r="B11" s="17"/>
      <c r="C11" s="23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</row>
    <row r="12" spans="1:17" ht="64.349999999999994" customHeight="1">
      <c r="A12" s="108"/>
      <c r="B12" s="17"/>
      <c r="C12" s="23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O9/(9-I33)</f>
        <v>48.817037037037039</v>
      </c>
      <c r="M12" s="120"/>
      <c r="N12" s="33" t="s">
        <v>27</v>
      </c>
      <c r="O12" s="27">
        <f>(9-I33)/9</f>
        <v>0.89999999999999991</v>
      </c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45.59395555555556</v>
      </c>
      <c r="M13" s="120"/>
      <c r="N13" s="33" t="s">
        <v>29</v>
      </c>
      <c r="O13" s="27">
        <f>O46/L46</f>
        <v>0.86538461538461542</v>
      </c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</row>
    <row r="15" spans="1:17" ht="58.8" customHeight="1">
      <c r="A15" s="107" t="s">
        <v>31</v>
      </c>
      <c r="B15" s="127" t="s">
        <v>103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2657</v>
      </c>
      <c r="M15" s="132"/>
      <c r="N15" s="33" t="s">
        <v>35</v>
      </c>
      <c r="O15" s="36">
        <f>L15/L9</f>
        <v>6.667519868305817</v>
      </c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5</v>
      </c>
      <c r="I16" s="35">
        <f>ROUND(H16/60,1)</f>
        <v>0.1</v>
      </c>
      <c r="J16" s="99" t="s">
        <v>36</v>
      </c>
      <c r="K16" s="100"/>
      <c r="L16" s="131">
        <f>L15+'02-05-26'!L16:M16</f>
        <v>7767</v>
      </c>
      <c r="M16" s="132"/>
      <c r="N16" s="33" t="s">
        <v>37</v>
      </c>
      <c r="O16" s="36">
        <f>L16/L10</f>
        <v>7.4936973634573469</v>
      </c>
    </row>
    <row r="17" spans="1:17" ht="58.8" customHeight="1">
      <c r="A17" s="108"/>
      <c r="B17" s="127" t="s">
        <v>104</v>
      </c>
      <c r="C17" s="127"/>
      <c r="D17" s="127"/>
      <c r="E17" s="127"/>
      <c r="F17" s="127"/>
      <c r="G17" s="128"/>
      <c r="H17" s="133">
        <v>10</v>
      </c>
      <c r="I17" s="133">
        <f t="shared" ref="I17:I25" si="0">ROUND(H17/60,1)</f>
        <v>0.2</v>
      </c>
      <c r="J17" s="135" t="s">
        <v>38</v>
      </c>
      <c r="K17" s="136"/>
      <c r="L17" s="136"/>
      <c r="M17" s="136"/>
      <c r="N17" s="136"/>
      <c r="O17" s="137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7</v>
      </c>
      <c r="M18" s="132"/>
      <c r="N18" s="33" t="s">
        <v>40</v>
      </c>
      <c r="O18" s="37">
        <f>L18/L9</f>
        <v>1.7565916100165873E-2</v>
      </c>
    </row>
    <row r="19" spans="1:17" ht="58.8" customHeight="1">
      <c r="A19" s="108"/>
      <c r="B19" s="127" t="s">
        <v>105</v>
      </c>
      <c r="C19" s="127"/>
      <c r="D19" s="127"/>
      <c r="E19" s="127"/>
      <c r="F19" s="127"/>
      <c r="G19" s="128"/>
      <c r="H19" s="133">
        <v>4</v>
      </c>
      <c r="I19" s="133">
        <f t="shared" si="0"/>
        <v>0.1</v>
      </c>
      <c r="J19" s="99" t="s">
        <v>41</v>
      </c>
      <c r="K19" s="100"/>
      <c r="L19" s="131">
        <f>L18+'02-05-26'!L19:M19</f>
        <v>18</v>
      </c>
      <c r="M19" s="132"/>
      <c r="N19" s="33" t="s">
        <v>42</v>
      </c>
      <c r="O19" s="38">
        <f>L19/L10</f>
        <v>1.7366621931534987E-2</v>
      </c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</row>
    <row r="21" spans="1:17" ht="58.8" customHeight="1">
      <c r="A21" s="108"/>
      <c r="B21" s="147" t="s">
        <v>106</v>
      </c>
      <c r="C21" s="148"/>
      <c r="D21" s="148"/>
      <c r="E21" s="148"/>
      <c r="F21" s="148"/>
      <c r="G21" s="149"/>
      <c r="H21" s="133">
        <v>7</v>
      </c>
      <c r="I21" s="133">
        <f t="shared" si="0"/>
        <v>0.1</v>
      </c>
      <c r="J21" s="99" t="s">
        <v>45</v>
      </c>
      <c r="K21" s="100"/>
      <c r="L21" s="131">
        <v>256</v>
      </c>
      <c r="M21" s="132"/>
      <c r="N21" s="30" t="s">
        <v>45</v>
      </c>
      <c r="O21" s="39">
        <v>290</v>
      </c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134"/>
      <c r="J22" s="99" t="s">
        <v>46</v>
      </c>
      <c r="K22" s="100"/>
      <c r="L22" s="131">
        <f>L21+'02-05-26'!L22:M22</f>
        <v>754</v>
      </c>
      <c r="M22" s="132"/>
      <c r="N22" s="30" t="s">
        <v>46</v>
      </c>
      <c r="O22" s="39">
        <f>O21+'02-05-26'!O22</f>
        <v>830</v>
      </c>
    </row>
    <row r="23" spans="1:17" ht="58.8" customHeight="1">
      <c r="A23" s="108"/>
      <c r="B23" s="127" t="s">
        <v>107</v>
      </c>
      <c r="C23" s="127"/>
      <c r="D23" s="127"/>
      <c r="E23" s="127"/>
      <c r="F23" s="127"/>
      <c r="G23" s="128"/>
      <c r="H23" s="133">
        <v>5</v>
      </c>
      <c r="I23" s="133">
        <f t="shared" si="0"/>
        <v>0.1</v>
      </c>
      <c r="J23" s="138" t="s">
        <v>47</v>
      </c>
      <c r="K23" s="139"/>
      <c r="L23" s="139"/>
      <c r="M23" s="140"/>
      <c r="N23" s="141" t="s">
        <v>48</v>
      </c>
      <c r="O23" s="142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134</v>
      </c>
      <c r="M24" s="132"/>
      <c r="N24" s="30" t="s">
        <v>45</v>
      </c>
      <c r="O24" s="40"/>
    </row>
    <row r="25" spans="1:17" ht="58.8" customHeight="1">
      <c r="A25" s="108"/>
      <c r="B25" s="127" t="s">
        <v>109</v>
      </c>
      <c r="C25" s="127"/>
      <c r="D25" s="127"/>
      <c r="E25" s="127"/>
      <c r="F25" s="127"/>
      <c r="G25" s="128"/>
      <c r="H25" s="133">
        <v>20</v>
      </c>
      <c r="I25" s="133">
        <f t="shared" si="0"/>
        <v>0.3</v>
      </c>
      <c r="J25" s="99" t="s">
        <v>46</v>
      </c>
      <c r="K25" s="100"/>
      <c r="L25" s="131">
        <f>L24+'02-05-26'!L25:M25</f>
        <v>450</v>
      </c>
      <c r="M25" s="132"/>
      <c r="N25" s="30" t="s">
        <v>46</v>
      </c>
      <c r="O25" s="40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1255</v>
      </c>
      <c r="M27" s="156"/>
      <c r="N27" s="41" t="s">
        <v>51</v>
      </c>
      <c r="O27" s="42">
        <f>L27/L9</f>
        <v>3.1493178151011669</v>
      </c>
      <c r="Q27" s="22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L27+'02-05-26'!L28:M28</f>
        <v>3625</v>
      </c>
      <c r="M28" s="156"/>
      <c r="N28" s="41" t="s">
        <v>53</v>
      </c>
      <c r="O28" s="42">
        <f>L28/L10</f>
        <v>3.4974446945452407</v>
      </c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21</v>
      </c>
      <c r="M30" s="166"/>
      <c r="N30" s="166"/>
      <c r="O30" s="167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L30+'02-05-26'!L31:O31</f>
        <v>54</v>
      </c>
      <c r="M31" s="166"/>
      <c r="N31" s="166"/>
      <c r="O31" s="167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</row>
    <row r="33" spans="1:16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ROUND(I16+I17+I19+I21+I23+I25+I27+I29+I31,1)</f>
        <v>0.9</v>
      </c>
      <c r="J33" s="99" t="s">
        <v>34</v>
      </c>
      <c r="K33" s="100"/>
      <c r="L33" s="131">
        <v>18165</v>
      </c>
      <c r="M33" s="132"/>
      <c r="N33" s="33" t="s">
        <v>58</v>
      </c>
      <c r="O33" s="43">
        <f>L33/O9</f>
        <v>45.938728130737601</v>
      </c>
    </row>
    <row r="34" spans="1:16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L33+'02-05-26'!L34:M34</f>
        <v>44950</v>
      </c>
      <c r="M34" s="132"/>
      <c r="N34" s="33" t="s">
        <v>59</v>
      </c>
      <c r="O34" s="43">
        <f>L34/O10</f>
        <v>43.81672424414932</v>
      </c>
    </row>
    <row r="35" spans="1:16" ht="43.35" customHeight="1">
      <c r="A35" s="107" t="s">
        <v>60</v>
      </c>
      <c r="B35" s="199" t="s">
        <v>110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</row>
    <row r="36" spans="1:16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152</v>
      </c>
      <c r="M36" s="45">
        <f>L36+'02-05-26'!M36</f>
        <v>1270</v>
      </c>
      <c r="N36" s="65">
        <f>L36/1000/L9</f>
        <v>3.8143132103217318E-4</v>
      </c>
      <c r="O36" s="66">
        <f>M36/1000/L10</f>
        <v>1.2253116585027465E-3</v>
      </c>
      <c r="P36" s="44"/>
    </row>
    <row r="37" spans="1:16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41</v>
      </c>
      <c r="M37" s="45">
        <f>L37+'02-05-26'!M37</f>
        <v>805</v>
      </c>
      <c r="N37" s="65">
        <f>L37/1000/L9</f>
        <v>1.0288608001525725E-4</v>
      </c>
      <c r="O37" s="66">
        <f>M37/1000/L10</f>
        <v>7.7667392527142585E-4</v>
      </c>
      <c r="P37" s="44"/>
    </row>
    <row r="38" spans="1:16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100</v>
      </c>
      <c r="M38" s="46">
        <f>L38+'02-05-26'!M38</f>
        <v>732</v>
      </c>
      <c r="N38" s="65">
        <f>L38/1000/L9</f>
        <v>2.5094165857379817E-4</v>
      </c>
      <c r="O38" s="66">
        <f>M38/1000/L10</f>
        <v>7.0624262521575617E-4</v>
      </c>
      <c r="P38" s="44"/>
    </row>
    <row r="39" spans="1:16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293</v>
      </c>
      <c r="M39" s="132"/>
      <c r="N39" s="30" t="s">
        <v>66</v>
      </c>
      <c r="O39" s="47">
        <f>O9/L9</f>
        <v>0.99226848749934127</v>
      </c>
      <c r="P39" s="44"/>
    </row>
    <row r="40" spans="1:16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f>L39+'02-05-26'!L40:M40</f>
        <v>2807</v>
      </c>
      <c r="M40" s="132"/>
      <c r="N40" s="30" t="s">
        <v>29</v>
      </c>
      <c r="O40" s="47">
        <f>(O10)/(L10-L22/1000)</f>
        <v>0.99048678355187758</v>
      </c>
      <c r="P40" s="48"/>
    </row>
    <row r="41" spans="1:16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</row>
    <row r="42" spans="1:16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80</v>
      </c>
      <c r="M42" s="132"/>
      <c r="N42" s="33" t="s">
        <v>69</v>
      </c>
      <c r="O42" s="43">
        <f>L42/O9</f>
        <v>0.20231754750668912</v>
      </c>
      <c r="P42" s="48"/>
    </row>
    <row r="43" spans="1:16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L42+'02-05-26'!L43:M43</f>
        <v>430</v>
      </c>
      <c r="M43" s="183"/>
      <c r="N43" s="49" t="s">
        <v>70</v>
      </c>
      <c r="O43" s="50">
        <f>L43/O10</f>
        <v>0.41915887486060527</v>
      </c>
      <c r="P43" s="48"/>
    </row>
    <row r="44" spans="1:16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</row>
    <row r="45" spans="1:16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9</v>
      </c>
      <c r="M45" s="132"/>
      <c r="N45" s="30" t="s">
        <v>73</v>
      </c>
      <c r="O45" s="39">
        <f>9-I33</f>
        <v>8.1</v>
      </c>
    </row>
    <row r="46" spans="1:16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L45+'02-05-26'!L46:M46</f>
        <v>26</v>
      </c>
      <c r="M46" s="183"/>
      <c r="N46" s="51" t="s">
        <v>74</v>
      </c>
      <c r="O46" s="67">
        <f>ROUND(L46-I33-'01-05-26'!I33-'02-05-26'!I33,1)</f>
        <v>22.5</v>
      </c>
    </row>
    <row r="47" spans="1:16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6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6" spans="1:12">
      <c r="E56" s="62"/>
    </row>
    <row r="59" spans="1:12">
      <c r="H59" s="64"/>
      <c r="I59" s="64"/>
      <c r="J59" s="64"/>
    </row>
    <row r="60" spans="1:12">
      <c r="H60" s="64"/>
      <c r="I60" s="64"/>
      <c r="J60" s="64"/>
    </row>
    <row r="61" spans="1:12">
      <c r="H61" s="64"/>
      <c r="I61" s="64"/>
      <c r="J61" s="64"/>
    </row>
    <row r="62" spans="1:12">
      <c r="H62" s="64"/>
      <c r="I62" s="64"/>
      <c r="J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J45:K45"/>
    <mergeCell ref="L45:M45"/>
    <mergeCell ref="J46:K46"/>
    <mergeCell ref="L46:M46"/>
    <mergeCell ref="A48:I48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3"/>
  <sheetViews>
    <sheetView topLeftCell="J25" zoomScale="56" zoomScaleNormal="56" workbookViewId="0">
      <selection activeCell="O47" sqref="O47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138100000543</v>
      </c>
      <c r="D5" s="18" t="s">
        <v>101</v>
      </c>
      <c r="E5" s="19">
        <v>404525</v>
      </c>
      <c r="F5" s="12">
        <v>77</v>
      </c>
      <c r="G5" s="12" t="s">
        <v>108</v>
      </c>
      <c r="H5" s="28">
        <v>401220</v>
      </c>
      <c r="I5" s="16">
        <v>77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/>
      <c r="C6" s="11"/>
      <c r="D6" s="12"/>
      <c r="E6" s="19"/>
      <c r="F6" s="12"/>
      <c r="G6" s="18"/>
      <c r="H6" s="19"/>
      <c r="I6" s="14"/>
      <c r="J6" s="99" t="s">
        <v>16</v>
      </c>
      <c r="K6" s="100"/>
      <c r="L6" s="101">
        <v>10.34</v>
      </c>
      <c r="M6" s="102"/>
      <c r="N6" s="20" t="s">
        <v>17</v>
      </c>
      <c r="O6" s="21">
        <f>(O9-L6)/O9</f>
        <v>0.9742286027615773</v>
      </c>
      <c r="Q6" s="22"/>
    </row>
    <row r="7" spans="1:17" ht="64.349999999999994" customHeight="1">
      <c r="A7" s="108"/>
      <c r="B7" s="10"/>
      <c r="C7" s="11"/>
      <c r="D7" s="18"/>
      <c r="E7" s="19"/>
      <c r="F7" s="12"/>
      <c r="G7" s="12"/>
      <c r="H7" s="19"/>
      <c r="I7" s="14"/>
      <c r="J7" s="99" t="s">
        <v>18</v>
      </c>
      <c r="K7" s="100"/>
      <c r="L7" s="101">
        <f>L6+'03-05-26'!L7:M7</f>
        <v>48.7</v>
      </c>
      <c r="M7" s="102"/>
      <c r="N7" s="26" t="s">
        <v>19</v>
      </c>
      <c r="O7" s="27">
        <f>(O10-L7)/O10</f>
        <v>0.96587446849659864</v>
      </c>
    </row>
    <row r="8" spans="1:17" ht="64.349999999999994" customHeight="1">
      <c r="A8" s="108"/>
      <c r="B8" s="17"/>
      <c r="C8" s="11"/>
      <c r="D8" s="18"/>
      <c r="E8" s="15"/>
      <c r="F8" s="12"/>
      <c r="G8" s="12"/>
      <c r="H8" s="19"/>
      <c r="I8" s="14"/>
      <c r="J8" s="121" t="s">
        <v>20</v>
      </c>
      <c r="K8" s="122"/>
      <c r="L8" s="122"/>
      <c r="M8" s="123"/>
      <c r="N8" s="124" t="s">
        <v>21</v>
      </c>
      <c r="O8" s="125"/>
    </row>
    <row r="9" spans="1:17" ht="64.349999999999994" customHeight="1">
      <c r="A9" s="108"/>
      <c r="B9" s="10"/>
      <c r="C9" s="11"/>
      <c r="D9" s="18"/>
      <c r="E9" s="19"/>
      <c r="F9" s="18"/>
      <c r="G9" s="28"/>
      <c r="H9" s="28"/>
      <c r="I9" s="16"/>
      <c r="J9" s="99" t="s">
        <v>22</v>
      </c>
      <c r="K9" s="100"/>
      <c r="L9" s="101">
        <v>404.52499999999998</v>
      </c>
      <c r="M9" s="102"/>
      <c r="N9" s="30" t="s">
        <v>22</v>
      </c>
      <c r="O9" s="31">
        <v>401.22</v>
      </c>
      <c r="Q9" s="32"/>
    </row>
    <row r="10" spans="1:17" ht="64.349999999999994" customHeight="1">
      <c r="A10" s="108"/>
      <c r="B10" s="10"/>
      <c r="C10" s="11"/>
      <c r="D10" s="18"/>
      <c r="E10" s="28"/>
      <c r="F10" s="12"/>
      <c r="G10" s="28"/>
      <c r="H10" s="28"/>
      <c r="I10" s="14"/>
      <c r="J10" s="99" t="s">
        <v>23</v>
      </c>
      <c r="K10" s="100"/>
      <c r="L10" s="101">
        <f>L9+'03-05-26'!L10:M10</f>
        <v>1440.9960000000001</v>
      </c>
      <c r="M10" s="102"/>
      <c r="N10" s="30" t="s">
        <v>23</v>
      </c>
      <c r="O10" s="31">
        <f>O9+'03-05-26'!O10</f>
        <v>1427.0840000000001</v>
      </c>
    </row>
    <row r="11" spans="1:17" ht="64.349999999999994" customHeight="1">
      <c r="A11" s="108"/>
      <c r="B11" s="17"/>
      <c r="C11" s="23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</row>
    <row r="12" spans="1:17" ht="64.349999999999994" customHeight="1">
      <c r="A12" s="108"/>
      <c r="B12" s="17"/>
      <c r="C12" s="23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O9/(9-I33)</f>
        <v>47.764285714285712</v>
      </c>
      <c r="M12" s="120"/>
      <c r="N12" s="33" t="s">
        <v>27</v>
      </c>
      <c r="O12" s="27">
        <f>(9-I33)/9</f>
        <v>0.93333333333333335</v>
      </c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46.183948220064728</v>
      </c>
      <c r="M13" s="120"/>
      <c r="N13" s="33" t="s">
        <v>29</v>
      </c>
      <c r="O13" s="27">
        <f>O46/L46</f>
        <v>0.88285714285714278</v>
      </c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</row>
    <row r="15" spans="1:17" ht="58.8" customHeight="1">
      <c r="A15" s="107" t="s">
        <v>31</v>
      </c>
      <c r="B15" s="127" t="s">
        <v>111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2669</v>
      </c>
      <c r="M15" s="132"/>
      <c r="N15" s="33" t="s">
        <v>35</v>
      </c>
      <c r="O15" s="36">
        <f>L15/L9</f>
        <v>6.5978616896359936</v>
      </c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11</v>
      </c>
      <c r="I16" s="35">
        <f>ROUND(H16/60,1)</f>
        <v>0.2</v>
      </c>
      <c r="J16" s="99" t="s">
        <v>36</v>
      </c>
      <c r="K16" s="100"/>
      <c r="L16" s="131">
        <f>L15+'03-05-26'!L16:M16</f>
        <v>10436</v>
      </c>
      <c r="M16" s="132"/>
      <c r="N16" s="33" t="s">
        <v>37</v>
      </c>
      <c r="O16" s="36">
        <f>L16/L10</f>
        <v>7.2422130248800132</v>
      </c>
    </row>
    <row r="17" spans="1:17" ht="58.8" customHeight="1">
      <c r="A17" s="108"/>
      <c r="B17" s="127" t="s">
        <v>112</v>
      </c>
      <c r="C17" s="127"/>
      <c r="D17" s="127"/>
      <c r="E17" s="127"/>
      <c r="F17" s="127"/>
      <c r="G17" s="128"/>
      <c r="H17" s="133">
        <v>24</v>
      </c>
      <c r="I17" s="133">
        <f t="shared" ref="I17" si="0">ROUND(H17/60,1)</f>
        <v>0.4</v>
      </c>
      <c r="J17" s="135" t="s">
        <v>38</v>
      </c>
      <c r="K17" s="136"/>
      <c r="L17" s="136"/>
      <c r="M17" s="136"/>
      <c r="N17" s="136"/>
      <c r="O17" s="137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7</v>
      </c>
      <c r="M18" s="132"/>
      <c r="N18" s="33" t="s">
        <v>40</v>
      </c>
      <c r="O18" s="37">
        <f>L18/L9</f>
        <v>1.730424572028923E-2</v>
      </c>
    </row>
    <row r="19" spans="1:17" ht="58.8" customHeight="1">
      <c r="A19" s="108"/>
      <c r="B19" s="127"/>
      <c r="C19" s="127"/>
      <c r="D19" s="127"/>
      <c r="E19" s="127"/>
      <c r="F19" s="127"/>
      <c r="G19" s="128"/>
      <c r="H19" s="133"/>
      <c r="I19" s="133"/>
      <c r="J19" s="99" t="s">
        <v>41</v>
      </c>
      <c r="K19" s="100"/>
      <c r="L19" s="131">
        <f>L18+'03-05-26'!L19:M19</f>
        <v>25</v>
      </c>
      <c r="M19" s="132"/>
      <c r="N19" s="33" t="s">
        <v>42</v>
      </c>
      <c r="O19" s="38">
        <f>L19/L10</f>
        <v>1.7349111309122301E-2</v>
      </c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</row>
    <row r="21" spans="1:17" ht="58.8" customHeight="1">
      <c r="A21" s="108"/>
      <c r="B21" s="147"/>
      <c r="C21" s="148"/>
      <c r="D21" s="148"/>
      <c r="E21" s="148"/>
      <c r="F21" s="148"/>
      <c r="G21" s="149"/>
      <c r="H21" s="133"/>
      <c r="I21" s="133"/>
      <c r="J21" s="99" t="s">
        <v>45</v>
      </c>
      <c r="K21" s="100"/>
      <c r="L21" s="131">
        <v>292</v>
      </c>
      <c r="M21" s="132"/>
      <c r="N21" s="30" t="s">
        <v>45</v>
      </c>
      <c r="O21" s="39">
        <v>340</v>
      </c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134"/>
      <c r="J22" s="99" t="s">
        <v>46</v>
      </c>
      <c r="K22" s="100"/>
      <c r="L22" s="131">
        <f>L21+'03-05-26'!L22:M22</f>
        <v>1046</v>
      </c>
      <c r="M22" s="132"/>
      <c r="N22" s="30" t="s">
        <v>46</v>
      </c>
      <c r="O22" s="39">
        <f>O21+'03-05-26'!O22</f>
        <v>1170</v>
      </c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126</v>
      </c>
      <c r="M24" s="132"/>
      <c r="N24" s="30" t="s">
        <v>45</v>
      </c>
      <c r="O24" s="40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L24+'03-05-26'!L25:M25</f>
        <v>576</v>
      </c>
      <c r="M25" s="132"/>
      <c r="N25" s="30" t="s">
        <v>46</v>
      </c>
      <c r="O25" s="40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1280</v>
      </c>
      <c r="M27" s="156"/>
      <c r="N27" s="41" t="s">
        <v>51</v>
      </c>
      <c r="O27" s="42">
        <f>L27/L9</f>
        <v>3.1642049317100303</v>
      </c>
      <c r="Q27" s="22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L27+'03-05-26'!L28:M28</f>
        <v>4905</v>
      </c>
      <c r="M28" s="156"/>
      <c r="N28" s="41" t="s">
        <v>53</v>
      </c>
      <c r="O28" s="42">
        <f>L28/L10</f>
        <v>3.4038956388497952</v>
      </c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21</v>
      </c>
      <c r="M30" s="166"/>
      <c r="N30" s="166"/>
      <c r="O30" s="167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L30+'03-05-26'!L31:O31</f>
        <v>75</v>
      </c>
      <c r="M31" s="166"/>
      <c r="N31" s="166"/>
      <c r="O31" s="167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</row>
    <row r="33" spans="1:16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ROUND(I16+I17+I19+I21+I23+I25+I27+I29+I31,1)</f>
        <v>0.6</v>
      </c>
      <c r="J33" s="99" t="s">
        <v>34</v>
      </c>
      <c r="K33" s="100"/>
      <c r="L33" s="131">
        <v>16129</v>
      </c>
      <c r="M33" s="132"/>
      <c r="N33" s="33" t="s">
        <v>58</v>
      </c>
      <c r="O33" s="43">
        <f>L33/O9</f>
        <v>40.199890334479832</v>
      </c>
    </row>
    <row r="34" spans="1:16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L33+'03-05-26'!L34:M34</f>
        <v>61079</v>
      </c>
      <c r="M34" s="132"/>
      <c r="N34" s="33" t="s">
        <v>59</v>
      </c>
      <c r="O34" s="43">
        <f>L34/O10</f>
        <v>42.799863217582143</v>
      </c>
    </row>
    <row r="35" spans="1:16" ht="43.35" customHeight="1">
      <c r="A35" s="107" t="s">
        <v>60</v>
      </c>
      <c r="B35" s="199" t="s">
        <v>113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</row>
    <row r="36" spans="1:16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0</v>
      </c>
      <c r="M36" s="45">
        <f>L36+'03-05-26'!M36</f>
        <v>1270</v>
      </c>
      <c r="N36" s="65">
        <f>L36/1000/L9</f>
        <v>0</v>
      </c>
      <c r="O36" s="66">
        <f>M36/1000/L10</f>
        <v>8.8133485450341291E-4</v>
      </c>
      <c r="P36" s="44"/>
    </row>
    <row r="37" spans="1:16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216</v>
      </c>
      <c r="M37" s="45">
        <f>L37+'03-05-26'!M37</f>
        <v>1021</v>
      </c>
      <c r="N37" s="65">
        <f>L37/1000/L9</f>
        <v>5.3395958222606768E-4</v>
      </c>
      <c r="O37" s="66">
        <f>M37/1000/L10</f>
        <v>7.0853770586455471E-4</v>
      </c>
      <c r="P37" s="44"/>
    </row>
    <row r="38" spans="1:16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202</v>
      </c>
      <c r="M38" s="46">
        <f>L38+'03-05-26'!M38</f>
        <v>934</v>
      </c>
      <c r="N38" s="65">
        <f>L38/1000/L9</f>
        <v>4.9935109078548924E-4</v>
      </c>
      <c r="O38" s="66">
        <f>M38/1000/L10</f>
        <v>6.4816279850880918E-4</v>
      </c>
      <c r="P38" s="44"/>
    </row>
    <row r="39" spans="1:16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418</v>
      </c>
      <c r="M39" s="132"/>
      <c r="N39" s="30" t="s">
        <v>66</v>
      </c>
      <c r="O39" s="47">
        <f>O9/L9</f>
        <v>0.99182992398492076</v>
      </c>
      <c r="P39" s="44"/>
    </row>
    <row r="40" spans="1:16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f>L39+'03-05-26'!L40:M40</f>
        <v>3225</v>
      </c>
      <c r="M40" s="132"/>
      <c r="N40" s="30" t="s">
        <v>29</v>
      </c>
      <c r="O40" s="47">
        <f>(O10)/(L10-L22/1000)</f>
        <v>0.99106496753359496</v>
      </c>
      <c r="P40" s="48"/>
    </row>
    <row r="41" spans="1:16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</row>
    <row r="42" spans="1:16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70</v>
      </c>
      <c r="M42" s="132"/>
      <c r="N42" s="33" t="s">
        <v>69</v>
      </c>
      <c r="O42" s="43">
        <f>L42/O9</f>
        <v>0.17446787298738844</v>
      </c>
      <c r="P42" s="48"/>
    </row>
    <row r="43" spans="1:16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L42+'03-05-26'!L43:M43</f>
        <v>500</v>
      </c>
      <c r="M43" s="183"/>
      <c r="N43" s="49" t="s">
        <v>70</v>
      </c>
      <c r="O43" s="50">
        <f>L43/O10</f>
        <v>0.35036479982958257</v>
      </c>
      <c r="P43" s="48"/>
    </row>
    <row r="44" spans="1:16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</row>
    <row r="45" spans="1:16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9</v>
      </c>
      <c r="M45" s="132"/>
      <c r="N45" s="30" t="s">
        <v>73</v>
      </c>
      <c r="O45" s="39">
        <f>9-I33</f>
        <v>8.4</v>
      </c>
    </row>
    <row r="46" spans="1:16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L45+'03-05-26'!L46:M46</f>
        <v>35</v>
      </c>
      <c r="M46" s="183"/>
      <c r="N46" s="51" t="s">
        <v>74</v>
      </c>
      <c r="O46" s="67">
        <f>ROUND(L46-I33-'01-05-26'!I33-'02-05-26'!I33-'03-05-26'!I33,1)</f>
        <v>30.9</v>
      </c>
    </row>
    <row r="47" spans="1:16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6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6" spans="1:12">
      <c r="E56" s="62"/>
    </row>
    <row r="59" spans="1:12">
      <c r="H59" s="64"/>
      <c r="I59" s="64"/>
      <c r="J59" s="64"/>
    </row>
    <row r="60" spans="1:12">
      <c r="H60" s="64"/>
      <c r="I60" s="64"/>
      <c r="J60" s="64"/>
    </row>
    <row r="61" spans="1:12">
      <c r="H61" s="64"/>
      <c r="I61" s="64"/>
      <c r="J61" s="64"/>
    </row>
    <row r="62" spans="1:12">
      <c r="H62" s="64"/>
      <c r="I62" s="64"/>
      <c r="J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J45:K45"/>
    <mergeCell ref="L45:M45"/>
    <mergeCell ref="J46:K46"/>
    <mergeCell ref="L46:M46"/>
    <mergeCell ref="A48:I48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3"/>
  <sheetViews>
    <sheetView topLeftCell="H16" zoomScale="40" zoomScaleNormal="40" workbookViewId="0">
      <selection activeCell="Q12" sqref="Q12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138100000543</v>
      </c>
      <c r="D5" s="18" t="s">
        <v>101</v>
      </c>
      <c r="E5" s="19">
        <v>293595</v>
      </c>
      <c r="F5" s="12">
        <v>56</v>
      </c>
      <c r="G5" s="12" t="s">
        <v>108</v>
      </c>
      <c r="H5" s="28">
        <v>291298</v>
      </c>
      <c r="I5" s="16">
        <v>56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138100000544</v>
      </c>
      <c r="D6" s="12" t="s">
        <v>118</v>
      </c>
      <c r="E6" s="19">
        <v>5210</v>
      </c>
      <c r="F6" s="12">
        <v>1</v>
      </c>
      <c r="G6" s="18" t="s">
        <v>108</v>
      </c>
      <c r="H6" s="19">
        <v>5150</v>
      </c>
      <c r="I6" s="14">
        <v>1</v>
      </c>
      <c r="J6" s="99" t="s">
        <v>16</v>
      </c>
      <c r="K6" s="100"/>
      <c r="L6" s="101">
        <v>25.916</v>
      </c>
      <c r="M6" s="102"/>
      <c r="N6" s="20" t="s">
        <v>17</v>
      </c>
      <c r="O6" s="21">
        <f>(O9-L6)/O9</f>
        <v>0.93525984991556499</v>
      </c>
      <c r="Q6" s="22"/>
    </row>
    <row r="7" spans="1:17" ht="64.349999999999994" customHeight="1">
      <c r="A7" s="108"/>
      <c r="B7" s="10">
        <v>3</v>
      </c>
      <c r="C7" s="11">
        <v>138100000541</v>
      </c>
      <c r="D7" s="18" t="s">
        <v>97</v>
      </c>
      <c r="E7" s="19">
        <v>15932</v>
      </c>
      <c r="F7" s="12">
        <v>3</v>
      </c>
      <c r="G7" s="12" t="s">
        <v>98</v>
      </c>
      <c r="H7" s="19">
        <v>15798</v>
      </c>
      <c r="I7" s="14">
        <v>3</v>
      </c>
      <c r="J7" s="99" t="s">
        <v>18</v>
      </c>
      <c r="K7" s="100"/>
      <c r="L7" s="101">
        <f>L6+'04-05-26'!L7:M7</f>
        <v>74.616</v>
      </c>
      <c r="M7" s="102"/>
      <c r="N7" s="26" t="s">
        <v>19</v>
      </c>
      <c r="O7" s="27">
        <f>(O10-L7)/O10</f>
        <v>0.95916803838475817</v>
      </c>
    </row>
    <row r="8" spans="1:17" ht="64.349999999999994" customHeight="1">
      <c r="A8" s="108"/>
      <c r="B8" s="17">
        <v>4</v>
      </c>
      <c r="C8" s="11">
        <v>138100000548</v>
      </c>
      <c r="D8" s="18" t="s">
        <v>120</v>
      </c>
      <c r="E8" s="15">
        <v>88810</v>
      </c>
      <c r="F8" s="12">
        <v>17</v>
      </c>
      <c r="G8" s="12" t="s">
        <v>119</v>
      </c>
      <c r="H8" s="19">
        <v>88062</v>
      </c>
      <c r="I8" s="14">
        <v>17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/>
      <c r="C9" s="11"/>
      <c r="D9" s="18"/>
      <c r="E9" s="19"/>
      <c r="F9" s="18"/>
      <c r="G9" s="28"/>
      <c r="H9" s="28"/>
      <c r="I9" s="16"/>
      <c r="J9" s="99" t="s">
        <v>22</v>
      </c>
      <c r="K9" s="100"/>
      <c r="L9" s="101">
        <v>403.54700000000003</v>
      </c>
      <c r="M9" s="102"/>
      <c r="N9" s="30" t="s">
        <v>22</v>
      </c>
      <c r="O9" s="31">
        <v>400.30799999999999</v>
      </c>
      <c r="Q9" s="32"/>
    </row>
    <row r="10" spans="1:17" ht="64.349999999999994" customHeight="1">
      <c r="A10" s="108"/>
      <c r="B10" s="10"/>
      <c r="C10" s="11"/>
      <c r="D10" s="18"/>
      <c r="E10" s="28"/>
      <c r="F10" s="12"/>
      <c r="G10" s="28"/>
      <c r="H10" s="28"/>
      <c r="I10" s="14"/>
      <c r="J10" s="99" t="s">
        <v>23</v>
      </c>
      <c r="K10" s="100"/>
      <c r="L10" s="101">
        <f>L9+'04-05-26'!L10:M10</f>
        <v>1844.5430000000001</v>
      </c>
      <c r="M10" s="102"/>
      <c r="N10" s="30" t="s">
        <v>23</v>
      </c>
      <c r="O10" s="31">
        <f>O9+'04-05-26'!O10</f>
        <v>1827.3920000000001</v>
      </c>
      <c r="Q10" s="64"/>
    </row>
    <row r="11" spans="1:17" ht="64.349999999999994" customHeight="1">
      <c r="A11" s="108"/>
      <c r="B11" s="17"/>
      <c r="C11" s="23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23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O9/(9-I33)</f>
        <v>46.012413793103448</v>
      </c>
      <c r="M12" s="120"/>
      <c r="N12" s="33" t="s">
        <v>27</v>
      </c>
      <c r="O12" s="27">
        <f>(9-I33)/9</f>
        <v>0.96666666666666656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46.146262626262626</v>
      </c>
      <c r="M13" s="120"/>
      <c r="N13" s="33" t="s">
        <v>29</v>
      </c>
      <c r="O13" s="27">
        <f>O46/L46</f>
        <v>0.9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114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2628</v>
      </c>
      <c r="M15" s="132"/>
      <c r="N15" s="33" t="s">
        <v>35</v>
      </c>
      <c r="O15" s="36">
        <f>L15/L9</f>
        <v>6.512252600068889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8</v>
      </c>
      <c r="I16" s="35">
        <f>ROUND(H16/60,1)</f>
        <v>0.1</v>
      </c>
      <c r="J16" s="99" t="s">
        <v>36</v>
      </c>
      <c r="K16" s="100"/>
      <c r="L16" s="131">
        <f>L15+'04-05-26'!L16:M16</f>
        <v>13064</v>
      </c>
      <c r="M16" s="132"/>
      <c r="N16" s="33" t="s">
        <v>37</v>
      </c>
      <c r="O16" s="36">
        <f>L16/L10</f>
        <v>7.0825131211362375</v>
      </c>
      <c r="Q16" s="64"/>
    </row>
    <row r="17" spans="1:17" ht="58.8" customHeight="1">
      <c r="A17" s="108"/>
      <c r="B17" s="127" t="s">
        <v>115</v>
      </c>
      <c r="C17" s="127"/>
      <c r="D17" s="127"/>
      <c r="E17" s="127"/>
      <c r="F17" s="127"/>
      <c r="G17" s="128"/>
      <c r="H17" s="133">
        <v>6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10</v>
      </c>
      <c r="M18" s="132"/>
      <c r="N18" s="33" t="s">
        <v>40</v>
      </c>
      <c r="O18" s="37">
        <f>L18/L9</f>
        <v>2.4780261035269743E-2</v>
      </c>
      <c r="Q18" s="64"/>
    </row>
    <row r="19" spans="1:17" ht="58.8" customHeight="1">
      <c r="A19" s="108"/>
      <c r="B19" s="127" t="s">
        <v>116</v>
      </c>
      <c r="C19" s="127"/>
      <c r="D19" s="127"/>
      <c r="E19" s="127"/>
      <c r="F19" s="127"/>
      <c r="G19" s="128"/>
      <c r="H19" s="133">
        <v>5</v>
      </c>
      <c r="I19" s="133">
        <f>ROUND(H19/60,1)</f>
        <v>0.1</v>
      </c>
      <c r="J19" s="99" t="s">
        <v>41</v>
      </c>
      <c r="K19" s="100"/>
      <c r="L19" s="131">
        <f>L18+'04-05-26'!L19:M19</f>
        <v>35</v>
      </c>
      <c r="M19" s="132"/>
      <c r="N19" s="33" t="s">
        <v>42</v>
      </c>
      <c r="O19" s="38">
        <f>L19/L10</f>
        <v>1.8974889715230276E-2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147" t="s">
        <v>117</v>
      </c>
      <c r="C21" s="148"/>
      <c r="D21" s="148"/>
      <c r="E21" s="148"/>
      <c r="F21" s="148"/>
      <c r="G21" s="149"/>
      <c r="H21" s="133">
        <v>6</v>
      </c>
      <c r="I21" s="202">
        <f>ROUND(H21/60,1)</f>
        <v>0.1</v>
      </c>
      <c r="J21" s="99" t="s">
        <v>45</v>
      </c>
      <c r="K21" s="100"/>
      <c r="L21" s="131">
        <v>280</v>
      </c>
      <c r="M21" s="132"/>
      <c r="N21" s="30" t="s">
        <v>45</v>
      </c>
      <c r="O21" s="39">
        <v>350</v>
      </c>
      <c r="Q21" s="64"/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202"/>
      <c r="J22" s="99" t="s">
        <v>46</v>
      </c>
      <c r="K22" s="100"/>
      <c r="L22" s="131">
        <f>L21+'04-05-26'!L22:M22</f>
        <v>1326</v>
      </c>
      <c r="M22" s="132"/>
      <c r="N22" s="30" t="s">
        <v>46</v>
      </c>
      <c r="O22" s="39">
        <f>O21+'04-05-26'!O22</f>
        <v>1520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140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L24+'04-05-26'!L25:M25</f>
        <v>716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1310</v>
      </c>
      <c r="M27" s="156"/>
      <c r="N27" s="41" t="s">
        <v>51</v>
      </c>
      <c r="O27" s="42">
        <f>L27/L9</f>
        <v>3.2462141956203365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L27+'04-05-26'!L28:M28</f>
        <v>6215</v>
      </c>
      <c r="M28" s="156"/>
      <c r="N28" s="41" t="s">
        <v>53</v>
      </c>
      <c r="O28" s="42">
        <f>L28/L10</f>
        <v>3.3693982737187476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30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L30+'04-05-26'!L31:O31</f>
        <v>105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0.3</v>
      </c>
      <c r="J33" s="99" t="s">
        <v>34</v>
      </c>
      <c r="K33" s="100"/>
      <c r="L33" s="131">
        <v>16777</v>
      </c>
      <c r="M33" s="132"/>
      <c r="N33" s="33" t="s">
        <v>58</v>
      </c>
      <c r="O33" s="43">
        <f>L33/O9</f>
        <v>41.910229123574851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L33+'04-05-26'!L34:M34</f>
        <v>77856</v>
      </c>
      <c r="M34" s="132"/>
      <c r="N34" s="33" t="s">
        <v>59</v>
      </c>
      <c r="O34" s="43">
        <f>L34/O10</f>
        <v>42.604980212236889</v>
      </c>
      <c r="Q34" s="64"/>
    </row>
    <row r="35" spans="1:17" ht="43.35" customHeight="1">
      <c r="A35" s="107" t="s">
        <v>60</v>
      </c>
      <c r="B35" s="199" t="s">
        <v>121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0</v>
      </c>
      <c r="M36" s="45">
        <f>L36+'04-05-26'!M36</f>
        <v>1270</v>
      </c>
      <c r="N36" s="65">
        <f>L36/1000/L9</f>
        <v>0</v>
      </c>
      <c r="O36" s="66">
        <f>M36/1000/L10</f>
        <v>6.8851742680978427E-4</v>
      </c>
      <c r="P36" s="44"/>
      <c r="Q36" s="64"/>
    </row>
    <row r="37" spans="1:17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86</v>
      </c>
      <c r="M37" s="45">
        <f>L37+'04-05-26'!M37</f>
        <v>1107</v>
      </c>
      <c r="N37" s="65">
        <f>L37/1000/L9</f>
        <v>2.1311024490331979E-4</v>
      </c>
      <c r="O37" s="66">
        <f>M37/1000/L10</f>
        <v>6.0014865470742608E-4</v>
      </c>
      <c r="P37" s="44"/>
      <c r="Q37" s="64"/>
    </row>
    <row r="38" spans="1:17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181</v>
      </c>
      <c r="M38" s="46">
        <f>L38+'04-05-26'!M38</f>
        <v>1115</v>
      </c>
      <c r="N38" s="65">
        <f>L38/1000/L9</f>
        <v>4.4852272473838234E-4</v>
      </c>
      <c r="O38" s="66">
        <f>M38/1000/L10</f>
        <v>6.0448577235662168E-4</v>
      </c>
      <c r="P38" s="44"/>
      <c r="Q38" s="64"/>
    </row>
    <row r="39" spans="1:17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267</v>
      </c>
      <c r="M39" s="132"/>
      <c r="N39" s="30" t="s">
        <v>66</v>
      </c>
      <c r="O39" s="47">
        <f>O9/L9</f>
        <v>0.991973673450676</v>
      </c>
      <c r="P39" s="44"/>
      <c r="Q39" s="64"/>
    </row>
    <row r="40" spans="1:17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f>L39+'04-05-26'!L40:M40</f>
        <v>3492</v>
      </c>
      <c r="M40" s="132"/>
      <c r="N40" s="30" t="s">
        <v>29</v>
      </c>
      <c r="O40" s="47">
        <f>(O10)/(L10-L22/1000)</f>
        <v>0.99141446720597737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60</v>
      </c>
      <c r="M42" s="132"/>
      <c r="N42" s="33" t="s">
        <v>69</v>
      </c>
      <c r="O42" s="43">
        <f>L42/O9</f>
        <v>0.14988458886657274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L42+'04-05-26'!L43:M43</f>
        <v>560</v>
      </c>
      <c r="M43" s="183"/>
      <c r="N43" s="49" t="s">
        <v>70</v>
      </c>
      <c r="O43" s="50">
        <f>L43/O10</f>
        <v>0.30644765873988722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9</v>
      </c>
      <c r="M45" s="132"/>
      <c r="N45" s="30" t="s">
        <v>73</v>
      </c>
      <c r="O45" s="39">
        <f>9-I33</f>
        <v>8.6999999999999993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L45+'04-05-26'!L46:M46</f>
        <v>44</v>
      </c>
      <c r="M46" s="183"/>
      <c r="N46" s="51" t="s">
        <v>74</v>
      </c>
      <c r="O46" s="67">
        <f>ROUND(L46-I33-'01-05-26'!I33-'02-05-26'!I33-'03-05-26'!I33-'04-05-26'!I33,1)</f>
        <v>39.6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K53" s="64"/>
    </row>
    <row r="54" spans="1:12">
      <c r="K54" s="64"/>
    </row>
    <row r="55" spans="1:12">
      <c r="K55" s="64"/>
    </row>
    <row r="56" spans="1:12">
      <c r="E56" s="62"/>
      <c r="K56" s="64"/>
    </row>
    <row r="57" spans="1:12">
      <c r="K57" s="64"/>
    </row>
    <row r="58" spans="1:12">
      <c r="K58" s="64"/>
    </row>
    <row r="59" spans="1:12">
      <c r="H59" s="64"/>
      <c r="I59" s="64"/>
      <c r="J59" s="64"/>
      <c r="K59" s="64"/>
    </row>
    <row r="60" spans="1:12">
      <c r="H60" s="64"/>
      <c r="I60" s="64"/>
      <c r="J60" s="64"/>
      <c r="K60" s="64"/>
    </row>
    <row r="61" spans="1:12">
      <c r="H61" s="64"/>
      <c r="I61" s="64"/>
      <c r="J61" s="64"/>
      <c r="K61" s="64"/>
    </row>
    <row r="62" spans="1:12">
      <c r="H62" s="64"/>
      <c r="I62" s="64"/>
      <c r="J62" s="64"/>
      <c r="K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J45:K45"/>
    <mergeCell ref="L45:M45"/>
    <mergeCell ref="J46:K46"/>
    <mergeCell ref="L46:M46"/>
    <mergeCell ref="A48:I48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3"/>
  <sheetViews>
    <sheetView topLeftCell="H19" zoomScale="47" zoomScaleNormal="47" workbookViewId="0">
      <selection activeCell="H6" sqref="H6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138100000548</v>
      </c>
      <c r="D5" s="18" t="s">
        <v>120</v>
      </c>
      <c r="E5" s="15">
        <v>488942</v>
      </c>
      <c r="F5" s="12">
        <v>93</v>
      </c>
      <c r="G5" s="12" t="s">
        <v>119</v>
      </c>
      <c r="H5" s="28">
        <v>484822</v>
      </c>
      <c r="I5" s="16">
        <v>93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138100000546</v>
      </c>
      <c r="D6" s="12" t="s">
        <v>120</v>
      </c>
      <c r="E6" s="19">
        <v>26345</v>
      </c>
      <c r="F6" s="12">
        <v>5</v>
      </c>
      <c r="G6" s="18" t="s">
        <v>126</v>
      </c>
      <c r="H6" s="19">
        <v>26132</v>
      </c>
      <c r="I6" s="14">
        <v>5</v>
      </c>
      <c r="J6" s="99" t="s">
        <v>16</v>
      </c>
      <c r="K6" s="100"/>
      <c r="L6" s="101">
        <v>31.295999999999999</v>
      </c>
      <c r="M6" s="102"/>
      <c r="N6" s="20" t="s">
        <v>17</v>
      </c>
      <c r="O6" s="21">
        <f>(O9-L6)/O9</f>
        <v>0.93874986789417447</v>
      </c>
      <c r="Q6" s="22"/>
    </row>
    <row r="7" spans="1:17" ht="64.349999999999994" customHeight="1">
      <c r="A7" s="108"/>
      <c r="B7" s="10"/>
      <c r="C7" s="11"/>
      <c r="D7" s="18"/>
      <c r="E7" s="19"/>
      <c r="F7" s="12"/>
      <c r="G7" s="12"/>
      <c r="H7" s="19"/>
      <c r="I7" s="14"/>
      <c r="J7" s="99" t="s">
        <v>18</v>
      </c>
      <c r="K7" s="100"/>
      <c r="L7" s="101">
        <f>L6+'05-05-26'!L7:M7</f>
        <v>105.91200000000001</v>
      </c>
      <c r="M7" s="102"/>
      <c r="N7" s="26" t="s">
        <v>19</v>
      </c>
      <c r="O7" s="27">
        <f>(O10-L7)/O10</f>
        <v>0.95470644635139545</v>
      </c>
    </row>
    <row r="8" spans="1:17" ht="64.349999999999994" customHeight="1">
      <c r="A8" s="108"/>
      <c r="B8" s="17"/>
      <c r="C8" s="11"/>
      <c r="D8" s="18"/>
      <c r="E8" s="15"/>
      <c r="F8" s="12"/>
      <c r="G8" s="12"/>
      <c r="H8" s="19"/>
      <c r="I8" s="14"/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/>
      <c r="C9" s="11"/>
      <c r="D9" s="18"/>
      <c r="E9" s="19"/>
      <c r="F9" s="18"/>
      <c r="G9" s="28"/>
      <c r="H9" s="28"/>
      <c r="I9" s="16"/>
      <c r="J9" s="99" t="s">
        <v>22</v>
      </c>
      <c r="K9" s="100"/>
      <c r="L9" s="101">
        <v>515.28700000000003</v>
      </c>
      <c r="M9" s="102"/>
      <c r="N9" s="30" t="s">
        <v>22</v>
      </c>
      <c r="O9" s="31">
        <v>510.95400000000001</v>
      </c>
      <c r="Q9" s="32"/>
    </row>
    <row r="10" spans="1:17" ht="64.349999999999994" customHeight="1">
      <c r="A10" s="108"/>
      <c r="B10" s="10"/>
      <c r="C10" s="11"/>
      <c r="D10" s="18"/>
      <c r="E10" s="28"/>
      <c r="F10" s="12"/>
      <c r="G10" s="28"/>
      <c r="H10" s="28"/>
      <c r="I10" s="14"/>
      <c r="J10" s="99" t="s">
        <v>23</v>
      </c>
      <c r="K10" s="100"/>
      <c r="L10" s="101">
        <f>L9+'05-05-26'!L10:M10</f>
        <v>2359.83</v>
      </c>
      <c r="M10" s="102"/>
      <c r="N10" s="30" t="s">
        <v>23</v>
      </c>
      <c r="O10" s="31">
        <f>O9+'05-05-26'!O10</f>
        <v>2338.346</v>
      </c>
      <c r="Q10" s="64"/>
    </row>
    <row r="11" spans="1:17" ht="64.349999999999994" customHeight="1">
      <c r="A11" s="108"/>
      <c r="B11" s="17"/>
      <c r="C11" s="23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23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47.752710280373833</v>
      </c>
      <c r="M12" s="120"/>
      <c r="N12" s="33" t="s">
        <v>27</v>
      </c>
      <c r="O12" s="27">
        <f>(11-I33)/11</f>
        <v>0.97272727272727266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46.487992047713718</v>
      </c>
      <c r="M13" s="120"/>
      <c r="N13" s="33" t="s">
        <v>29</v>
      </c>
      <c r="O13" s="27">
        <f>O46/L46</f>
        <v>0.91454545454545444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122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3155</v>
      </c>
      <c r="M15" s="132"/>
      <c r="N15" s="33" t="s">
        <v>35</v>
      </c>
      <c r="O15" s="36">
        <f>L15/L9</f>
        <v>6.1228014679198193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5</v>
      </c>
      <c r="I16" s="35">
        <f>ROUND(H16/60,1)</f>
        <v>0.1</v>
      </c>
      <c r="J16" s="99" t="s">
        <v>36</v>
      </c>
      <c r="K16" s="100"/>
      <c r="L16" s="131">
        <f>L15+'05-05-26'!L16:M16</f>
        <v>16219</v>
      </c>
      <c r="M16" s="132"/>
      <c r="N16" s="33" t="s">
        <v>37</v>
      </c>
      <c r="O16" s="36">
        <f>L16/L10</f>
        <v>6.8729527126954064</v>
      </c>
      <c r="Q16" s="64"/>
    </row>
    <row r="17" spans="1:17" ht="58.8" customHeight="1">
      <c r="A17" s="108"/>
      <c r="B17" s="127" t="s">
        <v>123</v>
      </c>
      <c r="C17" s="127"/>
      <c r="D17" s="127"/>
      <c r="E17" s="127"/>
      <c r="F17" s="127"/>
      <c r="G17" s="128"/>
      <c r="H17" s="133">
        <v>4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12</v>
      </c>
      <c r="M18" s="132"/>
      <c r="N18" s="33" t="s">
        <v>40</v>
      </c>
      <c r="O18" s="37">
        <f>L18/L9</f>
        <v>2.3287992904924826E-2</v>
      </c>
      <c r="Q18" s="64"/>
    </row>
    <row r="19" spans="1:17" ht="58.8" customHeight="1">
      <c r="A19" s="108"/>
      <c r="B19" s="127" t="s">
        <v>124</v>
      </c>
      <c r="C19" s="127"/>
      <c r="D19" s="127"/>
      <c r="E19" s="127"/>
      <c r="F19" s="127"/>
      <c r="G19" s="128"/>
      <c r="H19" s="133">
        <v>6</v>
      </c>
      <c r="I19" s="133">
        <f>ROUND(H19/60,1)</f>
        <v>0.1</v>
      </c>
      <c r="J19" s="99" t="s">
        <v>41</v>
      </c>
      <c r="K19" s="100"/>
      <c r="L19" s="131">
        <f>L18+'05-05-26'!L19:M19</f>
        <v>47</v>
      </c>
      <c r="M19" s="132"/>
      <c r="N19" s="33" t="s">
        <v>42</v>
      </c>
      <c r="O19" s="38">
        <f>L19/L10</f>
        <v>1.9916688914031942E-2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147" t="s">
        <v>125</v>
      </c>
      <c r="C21" s="148"/>
      <c r="D21" s="148"/>
      <c r="E21" s="148"/>
      <c r="F21" s="148"/>
      <c r="G21" s="149"/>
      <c r="H21" s="133">
        <v>20</v>
      </c>
      <c r="I21" s="202">
        <f>ROUND(H21/60,1)</f>
        <v>0.3</v>
      </c>
      <c r="J21" s="99" t="s">
        <v>45</v>
      </c>
      <c r="K21" s="100"/>
      <c r="L21" s="131">
        <v>400</v>
      </c>
      <c r="M21" s="132"/>
      <c r="N21" s="30" t="s">
        <v>45</v>
      </c>
      <c r="O21" s="39">
        <v>400</v>
      </c>
      <c r="Q21" s="64"/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202"/>
      <c r="J22" s="99" t="s">
        <v>46</v>
      </c>
      <c r="K22" s="100"/>
      <c r="L22" s="131">
        <f>L21+'05-05-26'!L22:M22</f>
        <v>1726</v>
      </c>
      <c r="M22" s="132"/>
      <c r="N22" s="30" t="s">
        <v>46</v>
      </c>
      <c r="O22" s="39">
        <f>O21+'05-05-26'!O22</f>
        <v>1920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270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L24+'05-05-26'!L25:M25</f>
        <v>986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1497</v>
      </c>
      <c r="M27" s="156"/>
      <c r="N27" s="41" t="s">
        <v>51</v>
      </c>
      <c r="O27" s="42">
        <f>L27/L9</f>
        <v>2.9051771148893719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L27+'05-05-26'!L28:M28</f>
        <v>7712</v>
      </c>
      <c r="M28" s="156"/>
      <c r="N28" s="41" t="s">
        <v>53</v>
      </c>
      <c r="O28" s="42">
        <f>L28/L10</f>
        <v>3.2680320192556245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36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L30+'05-05-26'!L31:O31</f>
        <v>141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0.3</v>
      </c>
      <c r="J33" s="99" t="s">
        <v>34</v>
      </c>
      <c r="K33" s="100"/>
      <c r="L33" s="131">
        <v>22109</v>
      </c>
      <c r="M33" s="132"/>
      <c r="N33" s="33" t="s">
        <v>58</v>
      </c>
      <c r="O33" s="43">
        <f>L33/O9</f>
        <v>43.27003996445864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L33+'05-05-26'!L34:M34</f>
        <v>99965</v>
      </c>
      <c r="M34" s="132"/>
      <c r="N34" s="33" t="s">
        <v>59</v>
      </c>
      <c r="O34" s="43">
        <f>L34/O10</f>
        <v>42.750302991943876</v>
      </c>
      <c r="Q34" s="64"/>
    </row>
    <row r="35" spans="1:17" ht="43.35" customHeight="1">
      <c r="A35" s="107" t="s">
        <v>60</v>
      </c>
      <c r="B35" s="199" t="s">
        <v>127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219</v>
      </c>
      <c r="M36" s="45">
        <f>L36+'05-05-26'!M36</f>
        <v>1489</v>
      </c>
      <c r="N36" s="65">
        <f>L36/1000/L9</f>
        <v>4.2500587051487806E-4</v>
      </c>
      <c r="O36" s="66">
        <f>M36/1000/L10</f>
        <v>6.3097765517007587E-4</v>
      </c>
      <c r="P36" s="44"/>
      <c r="Q36" s="64"/>
    </row>
    <row r="37" spans="1:17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120</v>
      </c>
      <c r="M37" s="45">
        <f>L37+'05-05-26'!M37</f>
        <v>1227</v>
      </c>
      <c r="N37" s="65">
        <f>L37/1000/L9</f>
        <v>2.3287992904924825E-4</v>
      </c>
      <c r="O37" s="66">
        <f>M37/1000/L10</f>
        <v>5.1995270845781266E-4</v>
      </c>
      <c r="P37" s="44"/>
      <c r="Q37" s="64"/>
    </row>
    <row r="38" spans="1:17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122</v>
      </c>
      <c r="M38" s="46">
        <f>L38+'05-05-26'!M38</f>
        <v>1237</v>
      </c>
      <c r="N38" s="65">
        <f>L38/1000/L9</f>
        <v>2.3676126120006908E-4</v>
      </c>
      <c r="O38" s="66">
        <f>M38/1000/L10</f>
        <v>5.2419030184377698E-4</v>
      </c>
      <c r="P38" s="44"/>
      <c r="Q38" s="64"/>
    </row>
    <row r="39" spans="1:17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461</v>
      </c>
      <c r="M39" s="132"/>
      <c r="N39" s="30" t="s">
        <v>66</v>
      </c>
      <c r="O39" s="47">
        <f>O9/L9</f>
        <v>0.99159109389524669</v>
      </c>
      <c r="P39" s="44"/>
      <c r="Q39" s="64"/>
    </row>
    <row r="40" spans="1:17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f>L39+'05-05-26'!L40:M40</f>
        <v>3953</v>
      </c>
      <c r="M40" s="132"/>
      <c r="N40" s="30" t="s">
        <v>29</v>
      </c>
      <c r="O40" s="47">
        <f>(O10)/(L10-L22/1000)</f>
        <v>0.99162123468685015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60</v>
      </c>
      <c r="M42" s="132"/>
      <c r="N42" s="33" t="s">
        <v>69</v>
      </c>
      <c r="O42" s="43">
        <f>L42/O9</f>
        <v>0.11742740050963492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L42+'05-05-26'!L43:M43</f>
        <v>620</v>
      </c>
      <c r="M43" s="183"/>
      <c r="N43" s="49" t="s">
        <v>70</v>
      </c>
      <c r="O43" s="50">
        <f>L43/O10</f>
        <v>0.26514467918776774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10.7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L45+'05-05-26'!L46:M46</f>
        <v>55</v>
      </c>
      <c r="M46" s="183"/>
      <c r="N46" s="51" t="s">
        <v>74</v>
      </c>
      <c r="O46" s="67">
        <f>ROUND(L46-I33-'01-05-26'!I33-'02-05-26'!I33-'03-05-26'!I33-'04-05-26'!I33-'05-05-26'!I33,1)</f>
        <v>50.3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K53" s="64"/>
    </row>
    <row r="54" spans="1:12">
      <c r="K54" s="64"/>
    </row>
    <row r="55" spans="1:12">
      <c r="K55" s="64"/>
    </row>
    <row r="56" spans="1:12">
      <c r="E56" s="62"/>
      <c r="K56" s="64"/>
    </row>
    <row r="57" spans="1:12">
      <c r="K57" s="64"/>
    </row>
    <row r="58" spans="1:12">
      <c r="K58" s="64"/>
    </row>
    <row r="59" spans="1:12">
      <c r="H59" s="64"/>
      <c r="I59" s="64"/>
      <c r="J59" s="64"/>
      <c r="K59" s="64"/>
    </row>
    <row r="60" spans="1:12">
      <c r="H60" s="64"/>
      <c r="I60" s="64"/>
      <c r="J60" s="64"/>
      <c r="K60" s="64"/>
    </row>
    <row r="61" spans="1:12">
      <c r="H61" s="64"/>
      <c r="I61" s="64"/>
      <c r="J61" s="64"/>
      <c r="K61" s="64"/>
    </row>
    <row r="62" spans="1:12">
      <c r="H62" s="64"/>
      <c r="I62" s="64"/>
      <c r="J62" s="64"/>
      <c r="K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J45:K45"/>
    <mergeCell ref="L45:M45"/>
    <mergeCell ref="J46:K46"/>
    <mergeCell ref="L46:M46"/>
    <mergeCell ref="A48:I48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3"/>
  <sheetViews>
    <sheetView topLeftCell="I19" zoomScale="47" zoomScaleNormal="47" workbookViewId="0">
      <selection activeCell="H6" sqref="H6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138100000546</v>
      </c>
      <c r="D5" s="12" t="s">
        <v>120</v>
      </c>
      <c r="E5" s="19">
        <v>509262</v>
      </c>
      <c r="F5" s="12">
        <v>97</v>
      </c>
      <c r="G5" s="18" t="s">
        <v>126</v>
      </c>
      <c r="H5" s="28">
        <v>505212</v>
      </c>
      <c r="I5" s="16">
        <v>97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/>
      <c r="C6" s="11"/>
      <c r="D6" s="12"/>
      <c r="E6" s="19"/>
      <c r="F6" s="12"/>
      <c r="G6" s="18"/>
      <c r="H6" s="19"/>
      <c r="I6" s="14"/>
      <c r="J6" s="99" t="s">
        <v>16</v>
      </c>
      <c r="K6" s="100"/>
      <c r="L6" s="101">
        <v>10.46</v>
      </c>
      <c r="M6" s="102"/>
      <c r="N6" s="20" t="s">
        <v>17</v>
      </c>
      <c r="O6" s="21">
        <f>(O9-L6)/O9</f>
        <v>0.97929582036847906</v>
      </c>
      <c r="Q6" s="22"/>
    </row>
    <row r="7" spans="1:17" ht="64.349999999999994" customHeight="1">
      <c r="A7" s="108"/>
      <c r="B7" s="10"/>
      <c r="C7" s="11"/>
      <c r="D7" s="18"/>
      <c r="E7" s="19"/>
      <c r="F7" s="12"/>
      <c r="G7" s="12"/>
      <c r="H7" s="19"/>
      <c r="I7" s="14"/>
      <c r="J7" s="99" t="s">
        <v>18</v>
      </c>
      <c r="K7" s="100"/>
      <c r="L7" s="101">
        <f>L6+'06-05-26'!L7:M7</f>
        <v>116.37200000000001</v>
      </c>
      <c r="M7" s="102"/>
      <c r="N7" s="26" t="s">
        <v>19</v>
      </c>
      <c r="O7" s="27">
        <f>(O10-L7)/O10</f>
        <v>0.95907521492440106</v>
      </c>
    </row>
    <row r="8" spans="1:17" ht="64.349999999999994" customHeight="1">
      <c r="A8" s="108"/>
      <c r="B8" s="17"/>
      <c r="C8" s="11"/>
      <c r="D8" s="18"/>
      <c r="E8" s="15"/>
      <c r="F8" s="12"/>
      <c r="G8" s="12"/>
      <c r="H8" s="19"/>
      <c r="I8" s="14"/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/>
      <c r="C9" s="11"/>
      <c r="D9" s="18"/>
      <c r="E9" s="19"/>
      <c r="F9" s="18"/>
      <c r="G9" s="28"/>
      <c r="H9" s="28"/>
      <c r="I9" s="16"/>
      <c r="J9" s="99" t="s">
        <v>22</v>
      </c>
      <c r="K9" s="100"/>
      <c r="L9" s="101">
        <v>509.262</v>
      </c>
      <c r="M9" s="102"/>
      <c r="N9" s="30" t="s">
        <v>22</v>
      </c>
      <c r="O9" s="31">
        <v>505.21199999999999</v>
      </c>
      <c r="Q9" s="32"/>
    </row>
    <row r="10" spans="1:17" ht="64.349999999999994" customHeight="1">
      <c r="A10" s="108"/>
      <c r="B10" s="10"/>
      <c r="C10" s="11"/>
      <c r="D10" s="18"/>
      <c r="E10" s="28"/>
      <c r="F10" s="12"/>
      <c r="G10" s="28"/>
      <c r="H10" s="28"/>
      <c r="I10" s="14"/>
      <c r="J10" s="99" t="s">
        <v>23</v>
      </c>
      <c r="K10" s="100"/>
      <c r="L10" s="101">
        <f>L9+'06-05-26'!L10:M10</f>
        <v>2869.0920000000001</v>
      </c>
      <c r="M10" s="102"/>
      <c r="N10" s="30" t="s">
        <v>23</v>
      </c>
      <c r="O10" s="31">
        <f>O9+'06-05-26'!O10</f>
        <v>2843.558</v>
      </c>
      <c r="Q10" s="64"/>
    </row>
    <row r="11" spans="1:17" ht="64.349999999999994" customHeight="1">
      <c r="A11" s="108"/>
      <c r="B11" s="17"/>
      <c r="C11" s="23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23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47.661509433962266</v>
      </c>
      <c r="M12" s="120"/>
      <c r="N12" s="33" t="s">
        <v>27</v>
      </c>
      <c r="O12" s="27">
        <f>(11-I33)/11</f>
        <v>0.96363636363636362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46.69224958949097</v>
      </c>
      <c r="M13" s="120"/>
      <c r="N13" s="33" t="s">
        <v>29</v>
      </c>
      <c r="O13" s="27">
        <f>O46/L46</f>
        <v>0.92272727272727273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128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3236</v>
      </c>
      <c r="M15" s="132"/>
      <c r="N15" s="33" t="s">
        <v>35</v>
      </c>
      <c r="O15" s="36">
        <f>L15/L9</f>
        <v>6.354293075077269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6</v>
      </c>
      <c r="I16" s="35">
        <f>ROUND(H16/60,1)</f>
        <v>0.1</v>
      </c>
      <c r="J16" s="99" t="s">
        <v>36</v>
      </c>
      <c r="K16" s="100"/>
      <c r="L16" s="131">
        <f>L15+'06-05-26'!L16:M16</f>
        <v>19455</v>
      </c>
      <c r="M16" s="132"/>
      <c r="N16" s="33" t="s">
        <v>37</v>
      </c>
      <c r="O16" s="36">
        <f>L16/L10</f>
        <v>6.7808909578361378</v>
      </c>
      <c r="Q16" s="64"/>
    </row>
    <row r="17" spans="1:17" ht="58.8" customHeight="1">
      <c r="A17" s="108"/>
      <c r="B17" s="127" t="s">
        <v>129</v>
      </c>
      <c r="C17" s="127"/>
      <c r="D17" s="127"/>
      <c r="E17" s="127"/>
      <c r="F17" s="127"/>
      <c r="G17" s="128"/>
      <c r="H17" s="133">
        <v>5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10</v>
      </c>
      <c r="M18" s="132"/>
      <c r="N18" s="33" t="s">
        <v>40</v>
      </c>
      <c r="O18" s="37">
        <f>L18/L9</f>
        <v>1.9636257957593536E-2</v>
      </c>
      <c r="Q18" s="64"/>
    </row>
    <row r="19" spans="1:17" ht="58.8" customHeight="1">
      <c r="A19" s="108"/>
      <c r="B19" s="127" t="s">
        <v>130</v>
      </c>
      <c r="C19" s="127"/>
      <c r="D19" s="127"/>
      <c r="E19" s="127"/>
      <c r="F19" s="127"/>
      <c r="G19" s="128"/>
      <c r="H19" s="133">
        <v>9</v>
      </c>
      <c r="I19" s="133">
        <f>ROUND(H19/60,1)</f>
        <v>0.2</v>
      </c>
      <c r="J19" s="99" t="s">
        <v>41</v>
      </c>
      <c r="K19" s="100"/>
      <c r="L19" s="131">
        <f>L18+'06-05-26'!L19:M19</f>
        <v>57</v>
      </c>
      <c r="M19" s="132"/>
      <c r="N19" s="33" t="s">
        <v>42</v>
      </c>
      <c r="O19" s="38">
        <f>L19/L10</f>
        <v>1.9866912598132093E-2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147" t="s">
        <v>131</v>
      </c>
      <c r="C21" s="148"/>
      <c r="D21" s="148"/>
      <c r="E21" s="148"/>
      <c r="F21" s="148"/>
      <c r="G21" s="149"/>
      <c r="H21" s="133">
        <v>20</v>
      </c>
      <c r="I21" s="202">
        <f>ROUND(H21/60,1)</f>
        <v>0.3</v>
      </c>
      <c r="J21" s="99" t="s">
        <v>45</v>
      </c>
      <c r="K21" s="100"/>
      <c r="L21" s="131">
        <v>394</v>
      </c>
      <c r="M21" s="132"/>
      <c r="N21" s="30" t="s">
        <v>45</v>
      </c>
      <c r="O21" s="39">
        <v>440</v>
      </c>
      <c r="Q21" s="64"/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202"/>
      <c r="J22" s="99" t="s">
        <v>46</v>
      </c>
      <c r="K22" s="100"/>
      <c r="L22" s="131">
        <f>L21+'06-05-26'!L22:M22</f>
        <v>2120</v>
      </c>
      <c r="M22" s="132"/>
      <c r="N22" s="30" t="s">
        <v>46</v>
      </c>
      <c r="O22" s="39">
        <f>O21+'06-05-26'!O22</f>
        <v>2360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165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L24+'06-05-26'!L25:M25</f>
        <v>1151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1517</v>
      </c>
      <c r="M27" s="156"/>
      <c r="N27" s="41" t="s">
        <v>51</v>
      </c>
      <c r="O27" s="42">
        <f>L27/L9</f>
        <v>2.9788203321669395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L27+'06-05-26'!L28:M28</f>
        <v>9229</v>
      </c>
      <c r="M28" s="156"/>
      <c r="N28" s="41" t="s">
        <v>53</v>
      </c>
      <c r="O28" s="42">
        <f>L28/L10</f>
        <v>3.2166971292659836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30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L30+'06-05-26'!L31:O31</f>
        <v>171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0.4</v>
      </c>
      <c r="J33" s="99" t="s">
        <v>34</v>
      </c>
      <c r="K33" s="100"/>
      <c r="L33" s="131">
        <v>19973</v>
      </c>
      <c r="M33" s="132"/>
      <c r="N33" s="33" t="s">
        <v>58</v>
      </c>
      <c r="O33" s="43">
        <f>L33/O9</f>
        <v>39.53389864057069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L33+'06-05-26'!L34:M34</f>
        <v>119938</v>
      </c>
      <c r="M34" s="132"/>
      <c r="N34" s="33" t="s">
        <v>59</v>
      </c>
      <c r="O34" s="43">
        <f>L34/O10</f>
        <v>42.178847767480036</v>
      </c>
      <c r="Q34" s="64"/>
    </row>
    <row r="35" spans="1:17" ht="43.35" customHeight="1">
      <c r="A35" s="107" t="s">
        <v>60</v>
      </c>
      <c r="B35" s="199" t="s">
        <v>132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0</v>
      </c>
      <c r="M36" s="45">
        <f>L36+'06-05-26'!M36</f>
        <v>1489</v>
      </c>
      <c r="N36" s="65">
        <f>L36/1000/L9</f>
        <v>0</v>
      </c>
      <c r="O36" s="66">
        <f>M36/1000/L10</f>
        <v>5.1897952383541551E-4</v>
      </c>
      <c r="P36" s="44"/>
      <c r="Q36" s="64"/>
    </row>
    <row r="37" spans="1:17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98</v>
      </c>
      <c r="M37" s="45">
        <f>L37+'06-05-26'!M37</f>
        <v>1325</v>
      </c>
      <c r="N37" s="65">
        <f>L37/1000/L9</f>
        <v>1.9243532798441667E-4</v>
      </c>
      <c r="O37" s="66">
        <f>M37/1000/L10</f>
        <v>4.6181858232500036E-4</v>
      </c>
      <c r="P37" s="44"/>
      <c r="Q37" s="64"/>
    </row>
    <row r="38" spans="1:17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120</v>
      </c>
      <c r="M38" s="46">
        <f>L38+'06-05-26'!M38</f>
        <v>1357</v>
      </c>
      <c r="N38" s="65">
        <f>L38/1000/L9</f>
        <v>2.3563509549112243E-4</v>
      </c>
      <c r="O38" s="66">
        <f>M38/1000/L10</f>
        <v>4.7297193676605696E-4</v>
      </c>
      <c r="P38" s="44"/>
      <c r="Q38" s="64"/>
    </row>
    <row r="39" spans="1:17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218</v>
      </c>
      <c r="M39" s="132"/>
      <c r="N39" s="30" t="s">
        <v>66</v>
      </c>
      <c r="O39" s="47">
        <f>O9/L9</f>
        <v>0.99204731552717462</v>
      </c>
      <c r="P39" s="44"/>
      <c r="Q39" s="64"/>
    </row>
    <row r="40" spans="1:17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f>L39+'06-05-26'!L40:M40</f>
        <v>4171</v>
      </c>
      <c r="M40" s="132"/>
      <c r="N40" s="30" t="s">
        <v>29</v>
      </c>
      <c r="O40" s="47">
        <f>(O10)/(L10-L22/1000)</f>
        <v>0.99183319544104365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 t="s">
        <v>133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L42+'06-05-26'!L43:M43</f>
        <v>620</v>
      </c>
      <c r="M43" s="183"/>
      <c r="N43" s="49" t="s">
        <v>70</v>
      </c>
      <c r="O43" s="50">
        <f>L43/O10</f>
        <v>0.21803669909317833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10.6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L45+'06-05-26'!L46:M46</f>
        <v>66</v>
      </c>
      <c r="M46" s="183"/>
      <c r="N46" s="51" t="s">
        <v>74</v>
      </c>
      <c r="O46" s="67">
        <f>ROUND(L46-I33-'01-05-26'!I33-'02-05-26'!I33-'03-05-26'!I33-'04-05-26'!I33-'05-05-26'!I33-'06-05-26'!I33,1)</f>
        <v>60.9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</row>
    <row r="54" spans="1:12">
      <c r="J54" s="64"/>
      <c r="K54" s="64"/>
    </row>
    <row r="55" spans="1:12">
      <c r="J55" s="64"/>
      <c r="K55" s="64"/>
    </row>
    <row r="56" spans="1:12">
      <c r="E56" s="62"/>
      <c r="J56" s="64"/>
      <c r="K56" s="64"/>
    </row>
    <row r="57" spans="1:12">
      <c r="J57" s="64"/>
      <c r="K57" s="64"/>
    </row>
    <row r="58" spans="1:12">
      <c r="H58" s="69"/>
      <c r="J58" s="64"/>
      <c r="K58" s="64"/>
    </row>
    <row r="59" spans="1:12">
      <c r="H59" s="64"/>
      <c r="I59" s="64"/>
      <c r="J59" s="64"/>
      <c r="K59" s="64"/>
    </row>
    <row r="60" spans="1:12">
      <c r="H60" s="64"/>
      <c r="I60" s="64"/>
      <c r="J60" s="64"/>
      <c r="K60" s="64"/>
    </row>
    <row r="61" spans="1:12">
      <c r="H61" s="64"/>
      <c r="I61" s="64"/>
      <c r="J61" s="64"/>
      <c r="K61" s="64"/>
    </row>
    <row r="62" spans="1:12">
      <c r="H62" s="64"/>
      <c r="I62" s="64"/>
      <c r="J62" s="64"/>
      <c r="K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J45:K45"/>
    <mergeCell ref="L45:M45"/>
    <mergeCell ref="J46:K46"/>
    <mergeCell ref="L46:M46"/>
    <mergeCell ref="A48:I48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3"/>
  <sheetViews>
    <sheetView topLeftCell="I25" zoomScale="48" zoomScaleNormal="48" workbookViewId="0">
      <selection activeCell="G11" sqref="G11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138100000546</v>
      </c>
      <c r="D5" s="12" t="s">
        <v>120</v>
      </c>
      <c r="E5" s="19">
        <v>501506</v>
      </c>
      <c r="F5" s="12">
        <v>96</v>
      </c>
      <c r="G5" s="18" t="s">
        <v>126</v>
      </c>
      <c r="H5" s="28">
        <v>497584</v>
      </c>
      <c r="I5" s="16">
        <v>96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/>
      <c r="C6" s="11"/>
      <c r="D6" s="12"/>
      <c r="E6" s="19"/>
      <c r="F6" s="12"/>
      <c r="G6" s="18"/>
      <c r="H6" s="19"/>
      <c r="I6" s="14"/>
      <c r="J6" s="99" t="s">
        <v>16</v>
      </c>
      <c r="K6" s="100"/>
      <c r="L6" s="101">
        <v>5.1440000000000001</v>
      </c>
      <c r="M6" s="102"/>
      <c r="N6" s="20" t="s">
        <v>17</v>
      </c>
      <c r="O6" s="21">
        <f>(O9-L6)/O9</f>
        <v>0.9896620470111579</v>
      </c>
      <c r="Q6" s="22"/>
    </row>
    <row r="7" spans="1:17" ht="64.349999999999994" customHeight="1">
      <c r="A7" s="108"/>
      <c r="B7" s="10"/>
      <c r="C7" s="11"/>
      <c r="D7" s="18"/>
      <c r="E7" s="19"/>
      <c r="F7" s="12"/>
      <c r="G7" s="12"/>
      <c r="H7" s="19"/>
      <c r="I7" s="14"/>
      <c r="J7" s="99" t="s">
        <v>18</v>
      </c>
      <c r="K7" s="100"/>
      <c r="L7" s="101">
        <f>L6+'07-05-26'!L7:M7</f>
        <v>121.51600000000002</v>
      </c>
      <c r="M7" s="102"/>
      <c r="N7" s="26" t="s">
        <v>19</v>
      </c>
      <c r="O7" s="27">
        <f>(O10-L7)/O10</f>
        <v>0.96363039942630391</v>
      </c>
    </row>
    <row r="8" spans="1:17" ht="64.349999999999994" customHeight="1">
      <c r="A8" s="108"/>
      <c r="B8" s="17"/>
      <c r="C8" s="11"/>
      <c r="D8" s="18"/>
      <c r="E8" s="15"/>
      <c r="F8" s="12"/>
      <c r="G8" s="12"/>
      <c r="H8" s="19"/>
      <c r="I8" s="14"/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/>
      <c r="C9" s="11"/>
      <c r="D9" s="18"/>
      <c r="E9" s="19"/>
      <c r="F9" s="18"/>
      <c r="G9" s="28"/>
      <c r="H9" s="28"/>
      <c r="I9" s="16"/>
      <c r="J9" s="99" t="s">
        <v>22</v>
      </c>
      <c r="K9" s="100"/>
      <c r="L9" s="101">
        <v>501.50599999999997</v>
      </c>
      <c r="M9" s="102"/>
      <c r="N9" s="30" t="s">
        <v>22</v>
      </c>
      <c r="O9" s="31">
        <v>497.584</v>
      </c>
      <c r="Q9" s="32"/>
    </row>
    <row r="10" spans="1:17" ht="64.349999999999994" customHeight="1">
      <c r="A10" s="108"/>
      <c r="B10" s="10"/>
      <c r="C10" s="11"/>
      <c r="D10" s="18"/>
      <c r="E10" s="28"/>
      <c r="F10" s="12"/>
      <c r="G10" s="28"/>
      <c r="H10" s="28"/>
      <c r="I10" s="14"/>
      <c r="J10" s="99" t="s">
        <v>23</v>
      </c>
      <c r="K10" s="100"/>
      <c r="L10" s="101">
        <f>L9+'07-05-26'!L10:M10</f>
        <v>3370.598</v>
      </c>
      <c r="M10" s="102"/>
      <c r="N10" s="30" t="s">
        <v>23</v>
      </c>
      <c r="O10" s="70">
        <f>O9+'07-05-26'!O10</f>
        <v>3341.1419999999998</v>
      </c>
      <c r="Q10" s="64"/>
    </row>
    <row r="11" spans="1:17" ht="64.349999999999994" customHeight="1">
      <c r="A11" s="108"/>
      <c r="B11" s="17"/>
      <c r="C11" s="23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23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46.503177570093463</v>
      </c>
      <c r="M12" s="120"/>
      <c r="N12" s="33" t="s">
        <v>27</v>
      </c>
      <c r="O12" s="27">
        <f>(11-I33)/11</f>
        <v>0.97272727272727266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46.663994413407821</v>
      </c>
      <c r="M13" s="120"/>
      <c r="N13" s="33" t="s">
        <v>29</v>
      </c>
      <c r="O13" s="27">
        <f>O46/L46</f>
        <v>0.92987012987012985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134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3214</v>
      </c>
      <c r="M15" s="132"/>
      <c r="N15" s="33" t="s">
        <v>35</v>
      </c>
      <c r="O15" s="36">
        <f>L15/L9</f>
        <v>6.4086970046220788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5</v>
      </c>
      <c r="I16" s="35">
        <f>ROUND(H16/60,1)</f>
        <v>0.1</v>
      </c>
      <c r="J16" s="99" t="s">
        <v>36</v>
      </c>
      <c r="K16" s="100"/>
      <c r="L16" s="131">
        <f>L15+'07-05-26'!L16:M16</f>
        <v>22669</v>
      </c>
      <c r="M16" s="132"/>
      <c r="N16" s="33" t="s">
        <v>37</v>
      </c>
      <c r="O16" s="36">
        <f>L16/L10</f>
        <v>6.7255128021793169</v>
      </c>
      <c r="Q16" s="64"/>
    </row>
    <row r="17" spans="1:17" ht="58.8" customHeight="1">
      <c r="A17" s="108"/>
      <c r="B17" s="127" t="s">
        <v>135</v>
      </c>
      <c r="C17" s="127"/>
      <c r="D17" s="127"/>
      <c r="E17" s="127"/>
      <c r="F17" s="127"/>
      <c r="G17" s="128"/>
      <c r="H17" s="133">
        <v>6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10</v>
      </c>
      <c r="M18" s="132"/>
      <c r="N18" s="33" t="s">
        <v>40</v>
      </c>
      <c r="O18" s="37">
        <f>L18/L9</f>
        <v>1.9939940898015179E-2</v>
      </c>
      <c r="Q18" s="64"/>
    </row>
    <row r="19" spans="1:17" ht="58.8" customHeight="1">
      <c r="A19" s="108"/>
      <c r="B19" s="127" t="s">
        <v>136</v>
      </c>
      <c r="C19" s="127"/>
      <c r="D19" s="127"/>
      <c r="E19" s="127"/>
      <c r="F19" s="127"/>
      <c r="G19" s="128"/>
      <c r="H19" s="133">
        <v>5</v>
      </c>
      <c r="I19" s="133">
        <f>ROUND(H19/60,1)</f>
        <v>0.1</v>
      </c>
      <c r="J19" s="99" t="s">
        <v>41</v>
      </c>
      <c r="K19" s="100"/>
      <c r="L19" s="131">
        <f>L18+'07-05-26'!L19:M19</f>
        <v>67</v>
      </c>
      <c r="M19" s="132"/>
      <c r="N19" s="33" t="s">
        <v>42</v>
      </c>
      <c r="O19" s="38">
        <f>L19/L10</f>
        <v>1.9877778364551336E-2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147" t="s">
        <v>137</v>
      </c>
      <c r="C21" s="148"/>
      <c r="D21" s="148"/>
      <c r="E21" s="148"/>
      <c r="F21" s="148"/>
      <c r="G21" s="149"/>
      <c r="H21" s="133">
        <v>6</v>
      </c>
      <c r="I21" s="202">
        <f>ROUND(H21/60,1)</f>
        <v>0.1</v>
      </c>
      <c r="J21" s="99" t="s">
        <v>45</v>
      </c>
      <c r="K21" s="100"/>
      <c r="L21" s="131">
        <v>330</v>
      </c>
      <c r="M21" s="132"/>
      <c r="N21" s="30" t="s">
        <v>45</v>
      </c>
      <c r="O21" s="39">
        <v>430</v>
      </c>
      <c r="Q21" s="64"/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202"/>
      <c r="J22" s="99" t="s">
        <v>46</v>
      </c>
      <c r="K22" s="100"/>
      <c r="L22" s="131">
        <f>L21+'07-05-26'!L22:M22</f>
        <v>2450</v>
      </c>
      <c r="M22" s="132"/>
      <c r="N22" s="30" t="s">
        <v>46</v>
      </c>
      <c r="O22" s="39">
        <f>O21+'07-05-26'!O22</f>
        <v>2790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230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L24+'07-05-26'!L25:M25</f>
        <v>1381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1525</v>
      </c>
      <c r="M27" s="156"/>
      <c r="N27" s="41" t="s">
        <v>51</v>
      </c>
      <c r="O27" s="42">
        <f>L27/L9</f>
        <v>3.0408409869473148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L27+'07-05-26'!L28:M28</f>
        <v>10754</v>
      </c>
      <c r="M28" s="156"/>
      <c r="N28" s="41" t="s">
        <v>53</v>
      </c>
      <c r="O28" s="42">
        <f>L28/L10</f>
        <v>3.1905317691400756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30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L30+'07-05-26'!L31:O31</f>
        <v>201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0.3</v>
      </c>
      <c r="J33" s="99" t="s">
        <v>34</v>
      </c>
      <c r="K33" s="100"/>
      <c r="L33" s="131">
        <v>19692</v>
      </c>
      <c r="M33" s="132"/>
      <c r="N33" s="33" t="s">
        <v>58</v>
      </c>
      <c r="O33" s="43">
        <f>L33/O9</f>
        <v>39.575227499276501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L33+'07-05-26'!L34:M34</f>
        <v>139630</v>
      </c>
      <c r="M34" s="132"/>
      <c r="N34" s="33" t="s">
        <v>59</v>
      </c>
      <c r="O34" s="43">
        <f>L34/O10</f>
        <v>41.791100168744698</v>
      </c>
      <c r="Q34" s="64"/>
    </row>
    <row r="35" spans="1:17" ht="43.35" customHeight="1">
      <c r="A35" s="107" t="s">
        <v>60</v>
      </c>
      <c r="B35" s="199" t="s">
        <v>138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0</v>
      </c>
      <c r="M36" s="45">
        <f>L36+'07-05-26'!M36</f>
        <v>1489</v>
      </c>
      <c r="N36" s="65">
        <f>L36/1000/L9</f>
        <v>0</v>
      </c>
      <c r="O36" s="66">
        <f>M36/1000/L10</f>
        <v>4.4176137290771554E-4</v>
      </c>
      <c r="P36" s="44"/>
      <c r="Q36" s="64"/>
    </row>
    <row r="37" spans="1:17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102</v>
      </c>
      <c r="M37" s="45">
        <f>L37+'07-05-26'!M37</f>
        <v>1427</v>
      </c>
      <c r="N37" s="65">
        <f>L37/1000/L9</f>
        <v>2.0338739715975481E-4</v>
      </c>
      <c r="O37" s="66">
        <f>M37/1000/L10</f>
        <v>4.233670108390262E-4</v>
      </c>
      <c r="P37" s="44"/>
      <c r="Q37" s="64"/>
    </row>
    <row r="38" spans="1:17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158</v>
      </c>
      <c r="M38" s="46">
        <f>L38+'07-05-26'!M38</f>
        <v>1515</v>
      </c>
      <c r="N38" s="65">
        <f>L38/1000/L9</f>
        <v>3.1505106618863986E-4</v>
      </c>
      <c r="O38" s="66">
        <f>M38/1000/L10</f>
        <v>4.4947513764619806E-4</v>
      </c>
      <c r="P38" s="44"/>
      <c r="Q38" s="64"/>
    </row>
    <row r="39" spans="1:17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260</v>
      </c>
      <c r="M39" s="132"/>
      <c r="N39" s="30" t="s">
        <v>66</v>
      </c>
      <c r="O39" s="47">
        <f>O9/L9</f>
        <v>0.9921795551797985</v>
      </c>
      <c r="P39" s="44"/>
      <c r="Q39" s="64"/>
    </row>
    <row r="40" spans="1:17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f>L39+'07-05-26'!L40:M40</f>
        <v>4431</v>
      </c>
      <c r="M40" s="132"/>
      <c r="N40" s="30" t="s">
        <v>29</v>
      </c>
      <c r="O40" s="47">
        <f>(O10)/(L10-L22/1000)</f>
        <v>0.9919819437863181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60</v>
      </c>
      <c r="M42" s="132"/>
      <c r="N42" s="33" t="s">
        <v>69</v>
      </c>
      <c r="O42" s="43">
        <f>L42/O9</f>
        <v>0.12058265539084857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L42+'07-05-26'!L43:M43</f>
        <v>680</v>
      </c>
      <c r="M43" s="183"/>
      <c r="N43" s="49" t="s">
        <v>70</v>
      </c>
      <c r="O43" s="50">
        <f>L43/O10</f>
        <v>0.20352322648962543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10.7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L45+'07-05-26'!L46:M46</f>
        <v>77</v>
      </c>
      <c r="M46" s="183"/>
      <c r="N46" s="51" t="s">
        <v>74</v>
      </c>
      <c r="O46" s="67">
        <f>ROUND(L46-I33-'01-05-26'!I33-'02-05-26'!I33-'03-05-26'!I33-'04-05-26'!I33-'05-05-26'!I33-'06-05-26'!I33-'07-05-26'!I33,1)</f>
        <v>71.599999999999994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</row>
    <row r="54" spans="1:12">
      <c r="J54" s="64"/>
      <c r="K54" s="64"/>
    </row>
    <row r="55" spans="1:12">
      <c r="J55" s="64"/>
      <c r="K55" s="64"/>
    </row>
    <row r="56" spans="1:12">
      <c r="E56" s="62"/>
      <c r="J56" s="64"/>
      <c r="K56" s="64"/>
    </row>
    <row r="57" spans="1:12">
      <c r="J57" s="64"/>
      <c r="K57" s="64"/>
    </row>
    <row r="58" spans="1:12">
      <c r="H58" s="69"/>
      <c r="J58" s="64"/>
      <c r="K58" s="64"/>
    </row>
    <row r="59" spans="1:12">
      <c r="H59" s="64"/>
      <c r="I59" s="64"/>
      <c r="J59" s="64"/>
      <c r="K59" s="64"/>
    </row>
    <row r="60" spans="1:12">
      <c r="H60" s="64"/>
      <c r="I60" s="64"/>
      <c r="J60" s="64"/>
      <c r="K60" s="64"/>
    </row>
    <row r="61" spans="1:12">
      <c r="H61" s="64"/>
      <c r="I61" s="64"/>
      <c r="J61" s="64"/>
      <c r="K61" s="64"/>
    </row>
    <row r="62" spans="1:12">
      <c r="H62" s="64"/>
      <c r="I62" s="64"/>
      <c r="J62" s="64"/>
      <c r="K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J45:K45"/>
    <mergeCell ref="L45:M45"/>
    <mergeCell ref="J46:K46"/>
    <mergeCell ref="L46:M46"/>
    <mergeCell ref="A48:I48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3"/>
  <sheetViews>
    <sheetView topLeftCell="H22" zoomScale="54" zoomScaleNormal="54" workbookViewId="0">
      <selection activeCell="D11" sqref="D11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138100000546</v>
      </c>
      <c r="D5" s="12" t="s">
        <v>120</v>
      </c>
      <c r="E5" s="19">
        <v>173182</v>
      </c>
      <c r="F5" s="12">
        <v>33</v>
      </c>
      <c r="G5" s="18" t="s">
        <v>126</v>
      </c>
      <c r="H5" s="28">
        <v>171794</v>
      </c>
      <c r="I5" s="16">
        <v>33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138100000545</v>
      </c>
      <c r="D6" s="12" t="s">
        <v>139</v>
      </c>
      <c r="E6" s="19">
        <v>26265</v>
      </c>
      <c r="F6" s="12">
        <v>5</v>
      </c>
      <c r="G6" s="18" t="s">
        <v>126</v>
      </c>
      <c r="H6" s="19">
        <v>26030</v>
      </c>
      <c r="I6" s="14">
        <v>5</v>
      </c>
      <c r="J6" s="99" t="s">
        <v>16</v>
      </c>
      <c r="K6" s="100"/>
      <c r="L6" s="101">
        <v>5.1139999999999999</v>
      </c>
      <c r="M6" s="102"/>
      <c r="N6" s="20" t="s">
        <v>17</v>
      </c>
      <c r="O6" s="21">
        <f>(O9-L6)/O9</f>
        <v>0.99020857984200461</v>
      </c>
      <c r="Q6" s="22"/>
    </row>
    <row r="7" spans="1:17" ht="64.349999999999994" customHeight="1">
      <c r="A7" s="108"/>
      <c r="B7" s="10">
        <v>3</v>
      </c>
      <c r="C7" s="11">
        <v>138100000547</v>
      </c>
      <c r="D7" s="18" t="s">
        <v>140</v>
      </c>
      <c r="E7" s="19">
        <v>52600</v>
      </c>
      <c r="F7" s="12">
        <v>10</v>
      </c>
      <c r="G7" s="12" t="s">
        <v>141</v>
      </c>
      <c r="H7" s="19">
        <v>52212</v>
      </c>
      <c r="I7" s="14">
        <v>10</v>
      </c>
      <c r="J7" s="99" t="s">
        <v>18</v>
      </c>
      <c r="K7" s="100"/>
      <c r="L7" s="101">
        <f>L6+'08-05-26'!L7:M7</f>
        <v>126.63000000000002</v>
      </c>
      <c r="M7" s="102"/>
      <c r="N7" s="26" t="s">
        <v>19</v>
      </c>
      <c r="O7" s="27">
        <f>(O10-L7)/O10</f>
        <v>0.9672234767186515</v>
      </c>
    </row>
    <row r="8" spans="1:17" ht="64.349999999999994" customHeight="1">
      <c r="A8" s="108"/>
      <c r="B8" s="17">
        <v>4</v>
      </c>
      <c r="C8" s="11">
        <v>138100000562</v>
      </c>
      <c r="D8" s="18" t="s">
        <v>143</v>
      </c>
      <c r="E8" s="15">
        <v>114131</v>
      </c>
      <c r="F8" s="12">
        <v>20</v>
      </c>
      <c r="G8" s="12" t="s">
        <v>142</v>
      </c>
      <c r="H8" s="19">
        <v>113068</v>
      </c>
      <c r="I8" s="14">
        <v>20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138100000563</v>
      </c>
      <c r="D9" s="18" t="s">
        <v>144</v>
      </c>
      <c r="E9" s="19">
        <v>5750</v>
      </c>
      <c r="F9" s="18">
        <v>1</v>
      </c>
      <c r="G9" s="12" t="s">
        <v>142</v>
      </c>
      <c r="H9" s="28">
        <v>5710</v>
      </c>
      <c r="I9" s="16">
        <v>1</v>
      </c>
      <c r="J9" s="99" t="s">
        <v>22</v>
      </c>
      <c r="K9" s="100"/>
      <c r="L9" s="101">
        <v>526.70399999999995</v>
      </c>
      <c r="M9" s="102"/>
      <c r="N9" s="30" t="s">
        <v>22</v>
      </c>
      <c r="O9" s="31">
        <v>522.29399999999998</v>
      </c>
      <c r="Q9" s="32"/>
    </row>
    <row r="10" spans="1:17" ht="64.349999999999994" customHeight="1">
      <c r="A10" s="108"/>
      <c r="B10" s="17">
        <v>6</v>
      </c>
      <c r="C10" s="72">
        <v>138100000575</v>
      </c>
      <c r="D10" s="73" t="s">
        <v>145</v>
      </c>
      <c r="E10" s="74">
        <v>103182</v>
      </c>
      <c r="F10" s="75">
        <v>18</v>
      </c>
      <c r="G10" s="75" t="s">
        <v>146</v>
      </c>
      <c r="H10" s="74">
        <v>102356</v>
      </c>
      <c r="I10" s="76">
        <v>18</v>
      </c>
      <c r="J10" s="99" t="s">
        <v>23</v>
      </c>
      <c r="K10" s="100"/>
      <c r="L10" s="101">
        <f>L9+'08-05-26'!L10:M10</f>
        <v>3897.3019999999997</v>
      </c>
      <c r="M10" s="102"/>
      <c r="N10" s="30" t="s">
        <v>23</v>
      </c>
      <c r="O10" s="70">
        <f>O9+'08-05-26'!O10</f>
        <v>3863.4359999999997</v>
      </c>
      <c r="Q10" s="64"/>
    </row>
    <row r="11" spans="1:17" ht="64.349999999999994" customHeight="1">
      <c r="A11" s="108"/>
      <c r="B11" s="10">
        <v>7</v>
      </c>
      <c r="C11" s="11">
        <v>138100000573</v>
      </c>
      <c r="D11" s="25" t="s">
        <v>101</v>
      </c>
      <c r="E11" s="13">
        <v>5239</v>
      </c>
      <c r="F11" s="12">
        <v>1</v>
      </c>
      <c r="G11" s="25" t="s">
        <v>108</v>
      </c>
      <c r="H11" s="13">
        <v>5158</v>
      </c>
      <c r="I11" s="14">
        <v>1</v>
      </c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>
        <v>8</v>
      </c>
      <c r="C12" s="11">
        <v>138100000549</v>
      </c>
      <c r="D12" s="25" t="s">
        <v>152</v>
      </c>
      <c r="E12" s="13">
        <v>46355</v>
      </c>
      <c r="F12" s="12">
        <v>9</v>
      </c>
      <c r="G12" s="25" t="s">
        <v>153</v>
      </c>
      <c r="H12" s="13">
        <v>45966</v>
      </c>
      <c r="I12" s="14">
        <v>9</v>
      </c>
      <c r="J12" s="99" t="s">
        <v>26</v>
      </c>
      <c r="K12" s="100"/>
      <c r="L12" s="119">
        <f>O9/(11-I33)</f>
        <v>49.742285714285714</v>
      </c>
      <c r="M12" s="120"/>
      <c r="N12" s="33" t="s">
        <v>27</v>
      </c>
      <c r="O12" s="27">
        <f>(11-I33)/11</f>
        <v>0.95454545454545459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47.057685749086481</v>
      </c>
      <c r="M13" s="120"/>
      <c r="N13" s="33" t="s">
        <v>29</v>
      </c>
      <c r="O13" s="27">
        <f>O46/L46</f>
        <v>0.93295454545454537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147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3407</v>
      </c>
      <c r="M15" s="132"/>
      <c r="N15" s="33" t="s">
        <v>35</v>
      </c>
      <c r="O15" s="36">
        <f>L15/L9</f>
        <v>6.4685288131474232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5</v>
      </c>
      <c r="I16" s="35">
        <f>ROUND(H16/60,1)</f>
        <v>0.1</v>
      </c>
      <c r="J16" s="99" t="s">
        <v>36</v>
      </c>
      <c r="K16" s="100"/>
      <c r="L16" s="131">
        <f>L15+'08-05-26'!L16:M16</f>
        <v>26076</v>
      </c>
      <c r="M16" s="132"/>
      <c r="N16" s="33" t="s">
        <v>37</v>
      </c>
      <c r="O16" s="36">
        <f>L16/L10</f>
        <v>6.6907824951723018</v>
      </c>
      <c r="Q16" s="64"/>
    </row>
    <row r="17" spans="1:17" ht="58.8" customHeight="1">
      <c r="A17" s="108"/>
      <c r="B17" s="127" t="s">
        <v>148</v>
      </c>
      <c r="C17" s="127"/>
      <c r="D17" s="127"/>
      <c r="E17" s="127"/>
      <c r="F17" s="127"/>
      <c r="G17" s="128"/>
      <c r="H17" s="133">
        <v>7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10</v>
      </c>
      <c r="M18" s="132"/>
      <c r="N18" s="33" t="s">
        <v>40</v>
      </c>
      <c r="O18" s="37">
        <f>L18/L9</f>
        <v>1.8985995929402474E-2</v>
      </c>
      <c r="Q18" s="64"/>
    </row>
    <row r="19" spans="1:17" ht="58.8" customHeight="1">
      <c r="A19" s="108"/>
      <c r="B19" s="127" t="s">
        <v>149</v>
      </c>
      <c r="C19" s="127"/>
      <c r="D19" s="127"/>
      <c r="E19" s="127"/>
      <c r="F19" s="127"/>
      <c r="G19" s="128"/>
      <c r="H19" s="133">
        <v>10</v>
      </c>
      <c r="I19" s="133">
        <f>ROUND(H19/60,1)</f>
        <v>0.2</v>
      </c>
      <c r="J19" s="99" t="s">
        <v>41</v>
      </c>
      <c r="K19" s="100"/>
      <c r="L19" s="131">
        <f>L18+'08-05-26'!L19:M19</f>
        <v>77</v>
      </c>
      <c r="M19" s="132"/>
      <c r="N19" s="33" t="s">
        <v>42</v>
      </c>
      <c r="O19" s="38">
        <f>L19/L10</f>
        <v>1.9757257713156437E-2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147" t="s">
        <v>150</v>
      </c>
      <c r="C21" s="148"/>
      <c r="D21" s="148"/>
      <c r="E21" s="148"/>
      <c r="F21" s="148"/>
      <c r="G21" s="149"/>
      <c r="H21" s="133">
        <v>7</v>
      </c>
      <c r="I21" s="202">
        <f>ROUND(H21/60,1)</f>
        <v>0.1</v>
      </c>
      <c r="J21" s="99" t="s">
        <v>45</v>
      </c>
      <c r="K21" s="100"/>
      <c r="L21" s="131">
        <v>350</v>
      </c>
      <c r="M21" s="132"/>
      <c r="N21" s="30" t="s">
        <v>45</v>
      </c>
      <c r="O21" s="39">
        <v>422</v>
      </c>
      <c r="Q21" s="64"/>
    </row>
    <row r="22" spans="1:17" ht="58.8" customHeight="1">
      <c r="A22" s="108"/>
      <c r="B22" s="150"/>
      <c r="C22" s="151"/>
      <c r="D22" s="151"/>
      <c r="E22" s="151"/>
      <c r="F22" s="151"/>
      <c r="G22" s="152"/>
      <c r="H22" s="134"/>
      <c r="I22" s="202"/>
      <c r="J22" s="99" t="s">
        <v>46</v>
      </c>
      <c r="K22" s="100"/>
      <c r="L22" s="131">
        <f>L21+'08-05-26'!L22:M22</f>
        <v>2800</v>
      </c>
      <c r="M22" s="132"/>
      <c r="N22" s="30" t="s">
        <v>46</v>
      </c>
      <c r="O22" s="39">
        <f>O21+'08-05-26'!O22</f>
        <v>3212</v>
      </c>
      <c r="Q22" s="64"/>
    </row>
    <row r="23" spans="1:17" ht="58.8" customHeight="1">
      <c r="A23" s="108"/>
      <c r="B23" s="127" t="s">
        <v>151</v>
      </c>
      <c r="C23" s="127"/>
      <c r="D23" s="127"/>
      <c r="E23" s="127"/>
      <c r="F23" s="127"/>
      <c r="G23" s="128"/>
      <c r="H23" s="133">
        <v>8</v>
      </c>
      <c r="I23" s="202">
        <f>ROUND(H23/60,1)</f>
        <v>0.1</v>
      </c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202"/>
      <c r="J24" s="99" t="s">
        <v>45</v>
      </c>
      <c r="K24" s="100"/>
      <c r="L24" s="131">
        <v>198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L24+'08-05-26'!L25:M25</f>
        <v>1579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1415</v>
      </c>
      <c r="M27" s="156"/>
      <c r="N27" s="41" t="s">
        <v>51</v>
      </c>
      <c r="O27" s="42">
        <f>L27/L9</f>
        <v>2.6865184240104503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L27+'08-05-26'!L28:M28</f>
        <v>12169</v>
      </c>
      <c r="M28" s="156"/>
      <c r="N28" s="41" t="s">
        <v>53</v>
      </c>
      <c r="O28" s="42">
        <f>L28/L10</f>
        <v>3.1224164819662423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30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L30+'08-05-26'!L31:O31</f>
        <v>231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0.5</v>
      </c>
      <c r="J33" s="99" t="s">
        <v>34</v>
      </c>
      <c r="K33" s="100"/>
      <c r="L33" s="131">
        <v>22088</v>
      </c>
      <c r="M33" s="132"/>
      <c r="N33" s="33" t="s">
        <v>58</v>
      </c>
      <c r="O33" s="43">
        <f>L33/O9</f>
        <v>42.290357538091577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L33+'08-05-26'!L34:M34</f>
        <v>161718</v>
      </c>
      <c r="M34" s="132"/>
      <c r="N34" s="33" t="s">
        <v>59</v>
      </c>
      <c r="O34" s="43">
        <f>L34/O10</f>
        <v>41.85859426686504</v>
      </c>
      <c r="Q34" s="64"/>
    </row>
    <row r="35" spans="1:17" ht="43.35" customHeight="1">
      <c r="A35" s="107" t="s">
        <v>60</v>
      </c>
      <c r="B35" s="199" t="s">
        <v>138</v>
      </c>
      <c r="C35" s="199"/>
      <c r="D35" s="199"/>
      <c r="E35" s="199"/>
      <c r="F35" s="199"/>
      <c r="G35" s="199"/>
      <c r="H35" s="199"/>
      <c r="I35" s="200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174"/>
      <c r="C36" s="174"/>
      <c r="D36" s="174"/>
      <c r="E36" s="174"/>
      <c r="F36" s="174"/>
      <c r="G36" s="174"/>
      <c r="H36" s="174"/>
      <c r="I36" s="175"/>
      <c r="J36" s="176" t="s">
        <v>63</v>
      </c>
      <c r="K36" s="177"/>
      <c r="L36" s="45">
        <v>96</v>
      </c>
      <c r="M36" s="45">
        <f>L36+'08-05-26'!M36</f>
        <v>1585</v>
      </c>
      <c r="N36" s="65">
        <f>L36/1000/L9</f>
        <v>1.8226556092226375E-4</v>
      </c>
      <c r="O36" s="66">
        <f>M36/1000/L10</f>
        <v>4.0669160357601234E-4</v>
      </c>
      <c r="P36" s="44"/>
      <c r="Q36" s="64"/>
    </row>
    <row r="37" spans="1:17" ht="47.55" customHeight="1">
      <c r="A37" s="108"/>
      <c r="B37" s="174"/>
      <c r="C37" s="174"/>
      <c r="D37" s="174"/>
      <c r="E37" s="174"/>
      <c r="F37" s="174"/>
      <c r="G37" s="174"/>
      <c r="H37" s="174"/>
      <c r="I37" s="175"/>
      <c r="J37" s="176" t="s">
        <v>64</v>
      </c>
      <c r="K37" s="177"/>
      <c r="L37" s="45">
        <v>210</v>
      </c>
      <c r="M37" s="45">
        <f>L37+'08-05-26'!M37</f>
        <v>1637</v>
      </c>
      <c r="N37" s="65">
        <f>L37/1000/L9</f>
        <v>3.9870591451745196E-4</v>
      </c>
      <c r="O37" s="66">
        <f>M37/1000/L10</f>
        <v>4.2003416722645568E-4</v>
      </c>
      <c r="P37" s="44"/>
      <c r="Q37" s="64"/>
    </row>
    <row r="38" spans="1:17" ht="47.55" customHeight="1">
      <c r="A38" s="108"/>
      <c r="B38" s="174"/>
      <c r="C38" s="174"/>
      <c r="D38" s="174"/>
      <c r="E38" s="174"/>
      <c r="F38" s="174"/>
      <c r="G38" s="174"/>
      <c r="H38" s="174"/>
      <c r="I38" s="175"/>
      <c r="J38" s="178" t="s">
        <v>65</v>
      </c>
      <c r="K38" s="179"/>
      <c r="L38" s="46">
        <v>170</v>
      </c>
      <c r="M38" s="46">
        <f>L38+'08-05-26'!M38</f>
        <v>1685</v>
      </c>
      <c r="N38" s="65">
        <f>L38/1000/L9</f>
        <v>3.2276193079984206E-4</v>
      </c>
      <c r="O38" s="66">
        <f>M38/1000/L10</f>
        <v>4.3235037982686491E-4</v>
      </c>
      <c r="P38" s="44"/>
      <c r="Q38" s="64"/>
    </row>
    <row r="39" spans="1:17" ht="47.55" customHeight="1">
      <c r="A39" s="108"/>
      <c r="B39" s="174"/>
      <c r="C39" s="174"/>
      <c r="D39" s="174"/>
      <c r="E39" s="174"/>
      <c r="F39" s="174"/>
      <c r="G39" s="174"/>
      <c r="H39" s="174"/>
      <c r="I39" s="175"/>
      <c r="J39" s="99" t="s">
        <v>45</v>
      </c>
      <c r="K39" s="100"/>
      <c r="L39" s="131">
        <f>L36+L37+L38</f>
        <v>476</v>
      </c>
      <c r="M39" s="132"/>
      <c r="N39" s="30" t="s">
        <v>66</v>
      </c>
      <c r="O39" s="47">
        <f>O9/L9</f>
        <v>0.9916271757951336</v>
      </c>
      <c r="P39" s="44"/>
      <c r="Q39" s="64"/>
    </row>
    <row r="40" spans="1:17" ht="47.25" customHeight="1">
      <c r="A40" s="108"/>
      <c r="B40" s="174"/>
      <c r="C40" s="174"/>
      <c r="D40" s="174"/>
      <c r="E40" s="174"/>
      <c r="F40" s="174"/>
      <c r="G40" s="174"/>
      <c r="H40" s="174"/>
      <c r="I40" s="175"/>
      <c r="J40" s="99" t="s">
        <v>46</v>
      </c>
      <c r="K40" s="100"/>
      <c r="L40" s="131">
        <f>L39+'08-05-26'!L40:M40</f>
        <v>4907</v>
      </c>
      <c r="M40" s="132"/>
      <c r="N40" s="30" t="s">
        <v>29</v>
      </c>
      <c r="O40" s="47">
        <f>(O10)/(L10-L22/1000)</f>
        <v>0.99202311360990447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L42+'08-05-26'!L43:M43</f>
        <v>680</v>
      </c>
      <c r="M43" s="183"/>
      <c r="N43" s="49" t="s">
        <v>70</v>
      </c>
      <c r="O43" s="50">
        <f>L43/O10</f>
        <v>0.17600912762628915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10.5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L45+'08-05-26'!L46:M46</f>
        <v>88</v>
      </c>
      <c r="M46" s="183"/>
      <c r="N46" s="51" t="s">
        <v>74</v>
      </c>
      <c r="O46" s="67">
        <f>ROUND(L46-I33-'01-05-26'!I33-'02-05-26'!I33-'03-05-26'!I33-'04-05-26'!I33-'05-05-26'!I33-'06-05-26'!I33-'07-05-26'!I33-'08-05-26'!I33,1)</f>
        <v>82.1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</row>
    <row r="54" spans="1:12">
      <c r="J54" s="64"/>
      <c r="K54" s="64"/>
    </row>
    <row r="55" spans="1:12">
      <c r="J55" s="64"/>
      <c r="K55" s="64"/>
    </row>
    <row r="56" spans="1:12">
      <c r="E56" s="62"/>
      <c r="J56" s="64"/>
      <c r="K56" s="64"/>
    </row>
    <row r="57" spans="1:12">
      <c r="J57" s="64"/>
      <c r="K57" s="64"/>
    </row>
    <row r="58" spans="1:12">
      <c r="H58" s="69"/>
      <c r="J58" s="64"/>
      <c r="K58" s="64"/>
    </row>
    <row r="59" spans="1:12">
      <c r="H59" s="64"/>
      <c r="I59" s="64"/>
      <c r="J59" s="64"/>
      <c r="K59" s="64"/>
    </row>
    <row r="60" spans="1:12">
      <c r="H60" s="64"/>
      <c r="I60" s="64"/>
      <c r="J60" s="64"/>
      <c r="K60" s="64"/>
    </row>
    <row r="61" spans="1:12">
      <c r="H61" s="64"/>
      <c r="I61" s="64"/>
      <c r="J61" s="64"/>
      <c r="K61" s="64"/>
    </row>
    <row r="62" spans="1:12">
      <c r="H62" s="64"/>
      <c r="I62" s="64"/>
      <c r="J62" s="64"/>
      <c r="K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7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N35:O35"/>
    <mergeCell ref="B36:I36"/>
    <mergeCell ref="J36:K36"/>
    <mergeCell ref="B37:I37"/>
    <mergeCell ref="J37:K37"/>
    <mergeCell ref="B38:I38"/>
    <mergeCell ref="J38:K38"/>
    <mergeCell ref="B33:G34"/>
    <mergeCell ref="H33:H34"/>
    <mergeCell ref="I33:I34"/>
    <mergeCell ref="J33:K33"/>
    <mergeCell ref="L33:M33"/>
    <mergeCell ref="J34:K34"/>
    <mergeCell ref="L34:M34"/>
    <mergeCell ref="B39:I39"/>
    <mergeCell ref="J39:K39"/>
    <mergeCell ref="L39:M39"/>
    <mergeCell ref="B40:I40"/>
    <mergeCell ref="J40:K40"/>
    <mergeCell ref="L40:M40"/>
    <mergeCell ref="A35:A41"/>
    <mergeCell ref="B35:I35"/>
    <mergeCell ref="J35:M35"/>
    <mergeCell ref="J45:K45"/>
    <mergeCell ref="L45:M45"/>
    <mergeCell ref="J46:K46"/>
    <mergeCell ref="L46:M46"/>
    <mergeCell ref="A48:I48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3"/>
  <sheetViews>
    <sheetView topLeftCell="I22" zoomScale="52" zoomScaleNormal="52" workbookViewId="0">
      <selection activeCell="C9" sqref="C9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138100000549</v>
      </c>
      <c r="D5" s="12" t="s">
        <v>152</v>
      </c>
      <c r="E5" s="13">
        <v>305884</v>
      </c>
      <c r="F5" s="12">
        <v>60</v>
      </c>
      <c r="G5" s="12" t="s">
        <v>153</v>
      </c>
      <c r="H5" s="28">
        <v>302912</v>
      </c>
      <c r="I5" s="16">
        <v>60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138100000519</v>
      </c>
      <c r="D6" s="12" t="s">
        <v>158</v>
      </c>
      <c r="E6" s="19">
        <v>4718</v>
      </c>
      <c r="F6" s="12">
        <v>1</v>
      </c>
      <c r="G6" s="18" t="s">
        <v>159</v>
      </c>
      <c r="H6" s="19">
        <v>4522</v>
      </c>
      <c r="I6" s="14">
        <v>1</v>
      </c>
      <c r="J6" s="99" t="s">
        <v>16</v>
      </c>
      <c r="K6" s="100"/>
      <c r="L6" s="101">
        <v>19.257999999999999</v>
      </c>
      <c r="M6" s="102"/>
      <c r="N6" s="20" t="s">
        <v>17</v>
      </c>
      <c r="O6" s="21">
        <f>(O9-L6)/O9</f>
        <v>0.95167911196756194</v>
      </c>
      <c r="Q6" s="22"/>
    </row>
    <row r="7" spans="1:17" ht="64.349999999999994" customHeight="1">
      <c r="A7" s="108"/>
      <c r="B7" s="10">
        <v>3</v>
      </c>
      <c r="C7" s="11">
        <v>138100000574</v>
      </c>
      <c r="D7" s="18" t="s">
        <v>160</v>
      </c>
      <c r="E7" s="19">
        <v>27623</v>
      </c>
      <c r="F7" s="12">
        <v>6</v>
      </c>
      <c r="G7" s="12" t="s">
        <v>159</v>
      </c>
      <c r="H7" s="19">
        <v>27346</v>
      </c>
      <c r="I7" s="14">
        <v>6</v>
      </c>
      <c r="J7" s="99" t="s">
        <v>18</v>
      </c>
      <c r="K7" s="100"/>
      <c r="L7" s="101">
        <f>L6+'09-05-26'!L7:M7</f>
        <v>145.88800000000003</v>
      </c>
      <c r="M7" s="102"/>
      <c r="N7" s="26" t="s">
        <v>19</v>
      </c>
      <c r="O7" s="27">
        <f>(O10-L7)/O10</f>
        <v>0.96576990037494315</v>
      </c>
    </row>
    <row r="8" spans="1:17" ht="64.349999999999994" customHeight="1">
      <c r="A8" s="108"/>
      <c r="B8" s="17">
        <v>4</v>
      </c>
      <c r="C8" s="11">
        <v>138100000521</v>
      </c>
      <c r="D8" s="18" t="s">
        <v>160</v>
      </c>
      <c r="E8" s="15">
        <v>64337</v>
      </c>
      <c r="F8" s="12">
        <v>14</v>
      </c>
      <c r="G8" s="12" t="s">
        <v>162</v>
      </c>
      <c r="H8" s="19">
        <v>63764</v>
      </c>
      <c r="I8" s="14">
        <v>14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/>
      <c r="C9" s="11"/>
      <c r="D9" s="18"/>
      <c r="E9" s="19"/>
      <c r="F9" s="18"/>
      <c r="G9" s="12"/>
      <c r="H9" s="28"/>
      <c r="I9" s="16"/>
      <c r="J9" s="99" t="s">
        <v>22</v>
      </c>
      <c r="K9" s="100"/>
      <c r="L9" s="101">
        <v>402.56200000000001</v>
      </c>
      <c r="M9" s="102"/>
      <c r="N9" s="30" t="s">
        <v>22</v>
      </c>
      <c r="O9" s="31">
        <v>398.54399999999998</v>
      </c>
      <c r="Q9" s="32"/>
    </row>
    <row r="10" spans="1:17" ht="64.349999999999994" customHeight="1">
      <c r="A10" s="108"/>
      <c r="B10" s="17"/>
      <c r="C10" s="11"/>
      <c r="D10" s="18"/>
      <c r="E10" s="28"/>
      <c r="F10" s="12"/>
      <c r="G10" s="12"/>
      <c r="H10" s="28"/>
      <c r="I10" s="14"/>
      <c r="J10" s="99" t="s">
        <v>23</v>
      </c>
      <c r="K10" s="100"/>
      <c r="L10" s="101">
        <f>L9+'09-05-26'!L10:M10</f>
        <v>4299.8639999999996</v>
      </c>
      <c r="M10" s="102"/>
      <c r="N10" s="30" t="s">
        <v>23</v>
      </c>
      <c r="O10" s="70">
        <f>O9+'09-05-26'!O10</f>
        <v>4261.9799999999996</v>
      </c>
      <c r="Q10" s="64"/>
    </row>
    <row r="11" spans="1:17" ht="64.349999999999994" customHeight="1">
      <c r="A11" s="108"/>
      <c r="B11" s="10"/>
      <c r="C11" s="11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38.321538461538459</v>
      </c>
      <c r="M12" s="120"/>
      <c r="N12" s="33" t="s">
        <v>27</v>
      </c>
      <c r="O12" s="27">
        <f>(11-I33)/11</f>
        <v>0.94545454545454544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46.075459459459452</v>
      </c>
      <c r="M13" s="120"/>
      <c r="N13" s="33" t="s">
        <v>29</v>
      </c>
      <c r="O13" s="27">
        <f>O46/L46</f>
        <v>0.93434343434343436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154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3265</v>
      </c>
      <c r="M15" s="132"/>
      <c r="N15" s="33" t="s">
        <v>35</v>
      </c>
      <c r="O15" s="36">
        <f>L15/L9</f>
        <v>8.1105519149845247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12</v>
      </c>
      <c r="I16" s="35">
        <f>ROUND(H16/60,1)</f>
        <v>0.2</v>
      </c>
      <c r="J16" s="99" t="s">
        <v>36</v>
      </c>
      <c r="K16" s="100"/>
      <c r="L16" s="131">
        <f>L15+'09-05-26'!L16:M16</f>
        <v>29341</v>
      </c>
      <c r="M16" s="132"/>
      <c r="N16" s="33" t="s">
        <v>37</v>
      </c>
      <c r="O16" s="36">
        <f>L16/L10</f>
        <v>6.8237041915744321</v>
      </c>
      <c r="Q16" s="64"/>
    </row>
    <row r="17" spans="1:17" ht="58.8" customHeight="1">
      <c r="A17" s="108"/>
      <c r="B17" s="127" t="s">
        <v>155</v>
      </c>
      <c r="C17" s="127"/>
      <c r="D17" s="127"/>
      <c r="E17" s="127"/>
      <c r="F17" s="127"/>
      <c r="G17" s="128"/>
      <c r="H17" s="133">
        <v>6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9</v>
      </c>
      <c r="M18" s="132"/>
      <c r="N18" s="33" t="s">
        <v>40</v>
      </c>
      <c r="O18" s="37">
        <f>L18/L9</f>
        <v>2.2356804666113544E-2</v>
      </c>
      <c r="Q18" s="64"/>
    </row>
    <row r="19" spans="1:17" ht="58.8" customHeight="1">
      <c r="A19" s="108"/>
      <c r="B19" s="127" t="s">
        <v>156</v>
      </c>
      <c r="C19" s="127"/>
      <c r="D19" s="127"/>
      <c r="E19" s="127"/>
      <c r="F19" s="127"/>
      <c r="G19" s="128"/>
      <c r="H19" s="133">
        <v>6</v>
      </c>
      <c r="I19" s="133">
        <f>ROUND(H19/60,1)</f>
        <v>0.1</v>
      </c>
      <c r="J19" s="99" t="s">
        <v>41</v>
      </c>
      <c r="K19" s="100"/>
      <c r="L19" s="131">
        <f>L18+'09-05-26'!L19:M19</f>
        <v>86</v>
      </c>
      <c r="M19" s="132"/>
      <c r="N19" s="33" t="s">
        <v>42</v>
      </c>
      <c r="O19" s="38">
        <f>L19/L10</f>
        <v>2.000063257814666E-2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 t="s">
        <v>157</v>
      </c>
      <c r="C21" s="127"/>
      <c r="D21" s="127"/>
      <c r="E21" s="127"/>
      <c r="F21" s="127"/>
      <c r="G21" s="128"/>
      <c r="H21" s="133">
        <v>12</v>
      </c>
      <c r="I21" s="202">
        <f>ROUND(H21/60,1)</f>
        <v>0.2</v>
      </c>
      <c r="J21" s="99" t="s">
        <v>45</v>
      </c>
      <c r="K21" s="100"/>
      <c r="L21" s="131">
        <v>288</v>
      </c>
      <c r="M21" s="132"/>
      <c r="N21" s="30" t="s">
        <v>45</v>
      </c>
      <c r="O21" s="39">
        <v>270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202"/>
      <c r="J22" s="99" t="s">
        <v>46</v>
      </c>
      <c r="K22" s="100"/>
      <c r="L22" s="131">
        <f>L21+'09-05-26'!L22:M22</f>
        <v>3088</v>
      </c>
      <c r="M22" s="132"/>
      <c r="N22" s="30" t="s">
        <v>46</v>
      </c>
      <c r="O22" s="39">
        <f>O21+'09-05-26'!O22</f>
        <v>3482</v>
      </c>
      <c r="Q22" s="64"/>
    </row>
    <row r="23" spans="1:17" ht="58.8" customHeight="1">
      <c r="A23" s="108"/>
      <c r="B23" s="127" t="s">
        <v>161</v>
      </c>
      <c r="C23" s="127"/>
      <c r="D23" s="127"/>
      <c r="E23" s="127"/>
      <c r="F23" s="127"/>
      <c r="G23" s="128"/>
      <c r="H23" s="133">
        <v>11</v>
      </c>
      <c r="I23" s="202">
        <f>ROUND(H23/60,1)</f>
        <v>0.2</v>
      </c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202"/>
      <c r="J24" s="99" t="s">
        <v>45</v>
      </c>
      <c r="K24" s="100"/>
      <c r="L24" s="131">
        <v>120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L24+'09-05-26'!L25:M25</f>
        <v>1699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1372</v>
      </c>
      <c r="M27" s="156"/>
      <c r="N27" s="41" t="s">
        <v>51</v>
      </c>
      <c r="O27" s="42">
        <f>L27/L9</f>
        <v>3.4081706668786422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L27+'09-05-26'!L28:M28</f>
        <v>13541</v>
      </c>
      <c r="M28" s="156"/>
      <c r="N28" s="41" t="s">
        <v>53</v>
      </c>
      <c r="O28" s="42">
        <f>L28/L10</f>
        <v>3.14916936907772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27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L30+'09-05-26'!L31:O31</f>
        <v>258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0.6</v>
      </c>
      <c r="J33" s="99" t="s">
        <v>34</v>
      </c>
      <c r="K33" s="100"/>
      <c r="L33" s="131">
        <v>16870</v>
      </c>
      <c r="M33" s="132"/>
      <c r="N33" s="33" t="s">
        <v>58</v>
      </c>
      <c r="O33" s="43">
        <f>L33/O9</f>
        <v>42.329077843349793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L33+'09-05-26'!L34:M34</f>
        <v>178588</v>
      </c>
      <c r="M34" s="132"/>
      <c r="N34" s="33" t="s">
        <v>59</v>
      </c>
      <c r="O34" s="43">
        <f>L34/O10</f>
        <v>41.902589876066997</v>
      </c>
      <c r="Q34" s="64"/>
    </row>
    <row r="35" spans="1:17" ht="43.35" customHeight="1">
      <c r="A35" s="107" t="s">
        <v>60</v>
      </c>
      <c r="B35" s="203" t="s">
        <v>163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330</v>
      </c>
      <c r="M36" s="45">
        <f>L36+'09-05-26'!M36</f>
        <v>1915</v>
      </c>
      <c r="N36" s="65">
        <f>L36/1000/L9</f>
        <v>8.1974950442416329E-4</v>
      </c>
      <c r="O36" s="66">
        <f>M36/1000/L10</f>
        <v>4.4536292310640526E-4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185</v>
      </c>
      <c r="M37" s="45">
        <f>L37+'09-05-26'!M37</f>
        <v>1822</v>
      </c>
      <c r="N37" s="65">
        <f>L37/1000/L9</f>
        <v>4.5955654035900056E-4</v>
      </c>
      <c r="O37" s="66">
        <f>M37/1000/L10</f>
        <v>4.2373433206259551E-4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369</v>
      </c>
      <c r="M38" s="46">
        <f>L38+'09-05-26'!M38</f>
        <v>2054</v>
      </c>
      <c r="N38" s="65">
        <f>L38/1000/L9</f>
        <v>9.1662899131065526E-4</v>
      </c>
      <c r="O38" s="66">
        <f>M38/1000/L10</f>
        <v>4.776895269245725E-4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884</v>
      </c>
      <c r="M39" s="132"/>
      <c r="N39" s="30" t="s">
        <v>66</v>
      </c>
      <c r="O39" s="47">
        <f>O9/L9</f>
        <v>0.99001892876128395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L39+'09-05-26'!L40:M40</f>
        <v>5791</v>
      </c>
      <c r="M40" s="132"/>
      <c r="N40" s="30" t="s">
        <v>29</v>
      </c>
      <c r="O40" s="47">
        <f>(O10)/(L10-L22/1000)</f>
        <v>0.99190183523646558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 t="s">
        <v>164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L42+'09-05-26'!L43:M43</f>
        <v>680</v>
      </c>
      <c r="M43" s="183"/>
      <c r="N43" s="49" t="s">
        <v>70</v>
      </c>
      <c r="O43" s="50">
        <f>L43/O10</f>
        <v>0.15955025598430778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10.4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L45+'09-05-26'!L46:M46</f>
        <v>99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ROUND(L46-I33-'01-05-26'!I33-'02-05-26'!I33-'03-05-26'!I33-'04-05-26'!I33-'05-05-26'!I33-'06-05-26'!I33-'07-05-26'!I33-'08-05-26'!I33-'09-05-26'!I33,1)</f>
        <v>92.5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</row>
    <row r="54" spans="1:12">
      <c r="J54" s="64"/>
      <c r="K54" s="64"/>
    </row>
    <row r="55" spans="1:12">
      <c r="J55" s="64"/>
      <c r="K55" s="64"/>
    </row>
    <row r="56" spans="1:12">
      <c r="E56" s="62"/>
      <c r="J56" s="64"/>
      <c r="K56" s="64"/>
    </row>
    <row r="57" spans="1:12">
      <c r="J57" s="64"/>
      <c r="K57" s="64"/>
    </row>
    <row r="58" spans="1:12">
      <c r="H58" s="69"/>
      <c r="J58" s="64"/>
      <c r="K58" s="64"/>
    </row>
    <row r="59" spans="1:12">
      <c r="H59" s="64"/>
      <c r="I59" s="64"/>
      <c r="J59" s="64"/>
      <c r="K59" s="64"/>
    </row>
    <row r="60" spans="1:12">
      <c r="H60" s="64"/>
      <c r="I60" s="64"/>
      <c r="J60" s="64"/>
      <c r="K60" s="64"/>
    </row>
    <row r="61" spans="1:12">
      <c r="H61" s="64"/>
      <c r="I61" s="64"/>
      <c r="J61" s="64"/>
      <c r="K61" s="64"/>
    </row>
    <row r="62" spans="1:12">
      <c r="H62" s="64"/>
      <c r="I62" s="64"/>
      <c r="J62" s="64"/>
      <c r="K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4">
    <mergeCell ref="J45:K45"/>
    <mergeCell ref="L45:M45"/>
    <mergeCell ref="J46:K46"/>
    <mergeCell ref="L46:M46"/>
    <mergeCell ref="A48:I48"/>
    <mergeCell ref="B35:I36"/>
    <mergeCell ref="B37:I38"/>
    <mergeCell ref="B39:I40"/>
    <mergeCell ref="B41:I41"/>
    <mergeCell ref="J41:O41"/>
    <mergeCell ref="A42:A46"/>
    <mergeCell ref="B42:I46"/>
    <mergeCell ref="J42:K42"/>
    <mergeCell ref="L42:M42"/>
    <mergeCell ref="J43:K43"/>
    <mergeCell ref="L43:M43"/>
    <mergeCell ref="J44:M44"/>
    <mergeCell ref="N44:O44"/>
    <mergeCell ref="J39:K39"/>
    <mergeCell ref="L39:M39"/>
    <mergeCell ref="J40:K40"/>
    <mergeCell ref="L40:M40"/>
    <mergeCell ref="A35:A41"/>
    <mergeCell ref="J35:M35"/>
    <mergeCell ref="N35:O35"/>
    <mergeCell ref="J36:K36"/>
    <mergeCell ref="J37:K37"/>
    <mergeCell ref="J38:K38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03"/>
  <sheetViews>
    <sheetView topLeftCell="I22" zoomScale="59" zoomScaleNormal="59" workbookViewId="0">
      <selection activeCell="M36" sqref="M36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138100000521</v>
      </c>
      <c r="D5" s="18" t="s">
        <v>160</v>
      </c>
      <c r="E5" s="15">
        <v>137672</v>
      </c>
      <c r="F5" s="12">
        <v>30</v>
      </c>
      <c r="G5" s="12" t="s">
        <v>162</v>
      </c>
      <c r="H5" s="19">
        <v>136728</v>
      </c>
      <c r="I5" s="16">
        <v>30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138100000567</v>
      </c>
      <c r="D6" s="12" t="s">
        <v>165</v>
      </c>
      <c r="E6" s="19">
        <v>31111</v>
      </c>
      <c r="F6" s="12">
        <v>7</v>
      </c>
      <c r="G6" s="18" t="s">
        <v>162</v>
      </c>
      <c r="H6" s="19">
        <v>30374</v>
      </c>
      <c r="I6" s="14">
        <v>7</v>
      </c>
      <c r="J6" s="99" t="s">
        <v>16</v>
      </c>
      <c r="K6" s="100"/>
      <c r="L6" s="101">
        <v>4.3639999999999999</v>
      </c>
      <c r="M6" s="102"/>
      <c r="N6" s="20" t="s">
        <v>17</v>
      </c>
      <c r="O6" s="21">
        <f>(O9-L6)/O9</f>
        <v>0.99111838356208992</v>
      </c>
      <c r="Q6" s="22"/>
    </row>
    <row r="7" spans="1:17" ht="64.349999999999994" customHeight="1">
      <c r="A7" s="108"/>
      <c r="B7" s="10">
        <v>3</v>
      </c>
      <c r="C7" s="11">
        <v>138100000564</v>
      </c>
      <c r="D7" s="18" t="s">
        <v>166</v>
      </c>
      <c r="E7" s="19">
        <v>36794</v>
      </c>
      <c r="F7" s="12">
        <v>8</v>
      </c>
      <c r="G7" s="12" t="s">
        <v>167</v>
      </c>
      <c r="H7" s="19">
        <v>36446</v>
      </c>
      <c r="I7" s="14">
        <v>8</v>
      </c>
      <c r="J7" s="99" t="s">
        <v>18</v>
      </c>
      <c r="K7" s="100"/>
      <c r="L7" s="101">
        <f>L6+'10-05-26 '!L7:M7</f>
        <v>150.25200000000004</v>
      </c>
      <c r="M7" s="102"/>
      <c r="N7" s="26" t="s">
        <v>19</v>
      </c>
      <c r="O7" s="27">
        <f>(O10-L7)/O10</f>
        <v>0.96839017346147915</v>
      </c>
    </row>
    <row r="8" spans="1:17" ht="64.349999999999994" customHeight="1">
      <c r="A8" s="108"/>
      <c r="B8" s="17">
        <v>4</v>
      </c>
      <c r="C8" s="11">
        <v>138100000569</v>
      </c>
      <c r="D8" s="18" t="s">
        <v>169</v>
      </c>
      <c r="E8" s="15">
        <v>63152</v>
      </c>
      <c r="F8" s="12">
        <v>14</v>
      </c>
      <c r="G8" s="12" t="s">
        <v>168</v>
      </c>
      <c r="H8" s="19">
        <v>62616</v>
      </c>
      <c r="I8" s="14">
        <v>14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138100000570</v>
      </c>
      <c r="D9" s="18" t="s">
        <v>170</v>
      </c>
      <c r="E9" s="19">
        <v>84359</v>
      </c>
      <c r="F9" s="18">
        <v>16</v>
      </c>
      <c r="G9" s="12" t="s">
        <v>171</v>
      </c>
      <c r="H9" s="28">
        <v>83686</v>
      </c>
      <c r="I9" s="16">
        <v>16</v>
      </c>
      <c r="J9" s="99" t="s">
        <v>22</v>
      </c>
      <c r="K9" s="100"/>
      <c r="L9" s="101">
        <v>495.69900000000001</v>
      </c>
      <c r="M9" s="102"/>
      <c r="N9" s="30" t="s">
        <v>22</v>
      </c>
      <c r="O9" s="31">
        <v>491.35199999999998</v>
      </c>
      <c r="Q9" s="32"/>
    </row>
    <row r="10" spans="1:17" ht="64.349999999999994" customHeight="1">
      <c r="A10" s="108"/>
      <c r="B10" s="17">
        <v>6</v>
      </c>
      <c r="C10" s="11">
        <v>138100000535</v>
      </c>
      <c r="D10" s="18" t="s">
        <v>170</v>
      </c>
      <c r="E10" s="28">
        <v>142611</v>
      </c>
      <c r="F10" s="12">
        <v>27</v>
      </c>
      <c r="G10" s="12" t="s">
        <v>172</v>
      </c>
      <c r="H10" s="28">
        <v>141502</v>
      </c>
      <c r="I10" s="14">
        <v>27</v>
      </c>
      <c r="J10" s="99" t="s">
        <v>23</v>
      </c>
      <c r="K10" s="100"/>
      <c r="L10" s="101">
        <f>L9+'10-05-26 '!L10:M10</f>
        <v>4795.5629999999992</v>
      </c>
      <c r="M10" s="102"/>
      <c r="N10" s="30" t="s">
        <v>23</v>
      </c>
      <c r="O10" s="70">
        <f>O9+'10-05-26 '!O10</f>
        <v>4753.3319999999994</v>
      </c>
      <c r="Q10" s="64"/>
    </row>
    <row r="11" spans="1:17" ht="64.349999999999994" customHeight="1">
      <c r="A11" s="108"/>
      <c r="B11" s="10"/>
      <c r="C11" s="11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47.704077669902908</v>
      </c>
      <c r="M12" s="120"/>
      <c r="N12" s="33" t="s">
        <v>27</v>
      </c>
      <c r="O12" s="27">
        <f>(11-I33)/11</f>
        <v>0.9363636363636364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46.238638132295712</v>
      </c>
      <c r="M13" s="120"/>
      <c r="N13" s="33" t="s">
        <v>29</v>
      </c>
      <c r="O13" s="27">
        <f>O46/L46</f>
        <v>0.93454545454545457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173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3543</v>
      </c>
      <c r="M15" s="132"/>
      <c r="N15" s="33" t="s">
        <v>35</v>
      </c>
      <c r="O15" s="36">
        <f>L15/L9</f>
        <v>7.1474826457184699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16</v>
      </c>
      <c r="I16" s="35">
        <f>ROUND(H16/60,1)</f>
        <v>0.3</v>
      </c>
      <c r="J16" s="99" t="s">
        <v>36</v>
      </c>
      <c r="K16" s="100"/>
      <c r="L16" s="131">
        <f>L15+'10-05-26 '!L16:M16</f>
        <v>32884</v>
      </c>
      <c r="M16" s="132"/>
      <c r="N16" s="33" t="s">
        <v>37</v>
      </c>
      <c r="O16" s="36">
        <f>L16/L10</f>
        <v>6.8571719316376418</v>
      </c>
      <c r="Q16" s="64"/>
    </row>
    <row r="17" spans="1:17" ht="58.8" customHeight="1">
      <c r="A17" s="108"/>
      <c r="B17" s="127" t="s">
        <v>174</v>
      </c>
      <c r="C17" s="127"/>
      <c r="D17" s="127"/>
      <c r="E17" s="127"/>
      <c r="F17" s="127"/>
      <c r="G17" s="128"/>
      <c r="H17" s="133">
        <v>6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9</v>
      </c>
      <c r="M18" s="132"/>
      <c r="N18" s="33" t="s">
        <v>40</v>
      </c>
      <c r="O18" s="37">
        <f>L18/L9</f>
        <v>1.815617945567774E-2</v>
      </c>
      <c r="Q18" s="64"/>
    </row>
    <row r="19" spans="1:17" ht="58.8" customHeight="1">
      <c r="A19" s="108"/>
      <c r="B19" s="127" t="s">
        <v>175</v>
      </c>
      <c r="C19" s="127"/>
      <c r="D19" s="127"/>
      <c r="E19" s="127"/>
      <c r="F19" s="127"/>
      <c r="G19" s="128"/>
      <c r="H19" s="133">
        <v>18</v>
      </c>
      <c r="I19" s="133">
        <f>ROUND(H19/60,1)</f>
        <v>0.3</v>
      </c>
      <c r="J19" s="99" t="s">
        <v>41</v>
      </c>
      <c r="K19" s="100"/>
      <c r="L19" s="131">
        <f>L18+'10-05-26 '!L19:M19</f>
        <v>95</v>
      </c>
      <c r="M19" s="132"/>
      <c r="N19" s="33" t="s">
        <v>42</v>
      </c>
      <c r="O19" s="38">
        <f>L19/L10</f>
        <v>1.9809978515556988E-2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 t="s">
        <v>176</v>
      </c>
      <c r="C21" s="127"/>
      <c r="D21" s="127"/>
      <c r="E21" s="127"/>
      <c r="F21" s="127"/>
      <c r="G21" s="128"/>
      <c r="H21" s="133">
        <v>4</v>
      </c>
      <c r="I21" s="202">
        <f>ROUND(H21/60,1)</f>
        <v>0.1</v>
      </c>
      <c r="J21" s="99" t="s">
        <v>45</v>
      </c>
      <c r="K21" s="100"/>
      <c r="L21" s="131">
        <v>398</v>
      </c>
      <c r="M21" s="132"/>
      <c r="N21" s="30" t="s">
        <v>45</v>
      </c>
      <c r="O21" s="39">
        <v>234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202"/>
      <c r="J22" s="99" t="s">
        <v>46</v>
      </c>
      <c r="K22" s="100"/>
      <c r="L22" s="131">
        <f>L21+'10-05-26 '!L22:M22</f>
        <v>3486</v>
      </c>
      <c r="M22" s="132"/>
      <c r="N22" s="30" t="s">
        <v>46</v>
      </c>
      <c r="O22" s="39">
        <f>O21+'10-05-26 '!O22</f>
        <v>3716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202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202"/>
      <c r="J24" s="99" t="s">
        <v>45</v>
      </c>
      <c r="K24" s="100"/>
      <c r="L24" s="131">
        <v>234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L24+'09-05-26'!L25:M25</f>
        <v>1813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1295</v>
      </c>
      <c r="M27" s="156"/>
      <c r="N27" s="41" t="s">
        <v>51</v>
      </c>
      <c r="O27" s="42">
        <f>L27/L9</f>
        <v>2.6124724883447414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L27+'10-05-26 '!L28:M28</f>
        <v>14836</v>
      </c>
      <c r="M28" s="156"/>
      <c r="N28" s="41" t="s">
        <v>53</v>
      </c>
      <c r="O28" s="42">
        <f>L28/L10</f>
        <v>3.0936930658610891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27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L30+'10-05-26 '!L31:O31</f>
        <v>285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0.7</v>
      </c>
      <c r="J33" s="99" t="s">
        <v>34</v>
      </c>
      <c r="K33" s="100"/>
      <c r="L33" s="131">
        <v>22232</v>
      </c>
      <c r="M33" s="132"/>
      <c r="N33" s="33" t="s">
        <v>58</v>
      </c>
      <c r="O33" s="43">
        <f>L33/O9</f>
        <v>45.246584933001188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L33+'10-05-26 '!L34:M34</f>
        <v>200820</v>
      </c>
      <c r="M34" s="132"/>
      <c r="N34" s="33" t="s">
        <v>59</v>
      </c>
      <c r="O34" s="43">
        <f>L34/O10</f>
        <v>42.248258695163734</v>
      </c>
      <c r="Q34" s="64"/>
    </row>
    <row r="35" spans="1:17" ht="43.35" customHeight="1">
      <c r="A35" s="107" t="s">
        <v>60</v>
      </c>
      <c r="B35" s="203" t="s">
        <v>177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108</v>
      </c>
      <c r="M36" s="45">
        <f>L36+'10-05-26 '!M36</f>
        <v>2023</v>
      </c>
      <c r="N36" s="65">
        <f>L36/1000/L9</f>
        <v>2.1787415346813288E-4</v>
      </c>
      <c r="O36" s="66">
        <f>M36/1000/L10</f>
        <v>4.2184827933654516E-4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356</v>
      </c>
      <c r="M37" s="45">
        <f>L37+'10-05-26 '!M37</f>
        <v>2178</v>
      </c>
      <c r="N37" s="65">
        <f>L37/1000/L9</f>
        <v>7.1817776513569717E-4</v>
      </c>
      <c r="O37" s="66">
        <f>M37/1000/L10</f>
        <v>4.5416982323034862E-4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330</v>
      </c>
      <c r="M38" s="46">
        <f>L38+'10-05-26 '!M38</f>
        <v>2384</v>
      </c>
      <c r="N38" s="65">
        <f>L38/1000/L9</f>
        <v>6.6572658004151715E-4</v>
      </c>
      <c r="O38" s="66">
        <f>M38/1000/L10</f>
        <v>4.9712619769566168E-4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794</v>
      </c>
      <c r="M39" s="132"/>
      <c r="N39" s="30" t="s">
        <v>66</v>
      </c>
      <c r="O39" s="47">
        <f>O9/L9</f>
        <v>0.99123056532290754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L39+'10-05-26 '!L40:M40</f>
        <v>6585</v>
      </c>
      <c r="M40" s="132"/>
      <c r="N40" s="30" t="s">
        <v>29</v>
      </c>
      <c r="O40" s="47">
        <f>(O10)/(L10-L22/1000)</f>
        <v>0.99191477933263594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L42+'10-05-26 '!L43:M43</f>
        <v>680</v>
      </c>
      <c r="M43" s="183"/>
      <c r="N43" s="49" t="s">
        <v>70</v>
      </c>
      <c r="O43" s="50">
        <f>L43/O10</f>
        <v>0.14305754363465462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10.3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L45+'10-05-26 '!L46:M46</f>
        <v>110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'!I33,1)</f>
        <v>102.8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</row>
    <row r="54" spans="1:12">
      <c r="J54" s="64"/>
      <c r="K54" s="64"/>
    </row>
    <row r="55" spans="1:12">
      <c r="J55" s="64"/>
      <c r="K55" s="64"/>
    </row>
    <row r="56" spans="1:12">
      <c r="E56" s="62"/>
      <c r="J56" s="64"/>
      <c r="K56" s="64"/>
    </row>
    <row r="57" spans="1:12">
      <c r="J57" s="64"/>
      <c r="K57" s="64"/>
    </row>
    <row r="58" spans="1:12">
      <c r="H58" s="69"/>
      <c r="J58" s="64"/>
      <c r="K58" s="64"/>
    </row>
    <row r="59" spans="1:12">
      <c r="H59" s="64"/>
      <c r="I59" s="64"/>
      <c r="J59" s="64"/>
      <c r="K59" s="64"/>
    </row>
    <row r="60" spans="1:12">
      <c r="H60" s="64"/>
      <c r="I60" s="64"/>
      <c r="J60" s="64"/>
      <c r="K60" s="64"/>
    </row>
    <row r="61" spans="1:12">
      <c r="H61" s="64"/>
      <c r="I61" s="64"/>
      <c r="J61" s="64"/>
      <c r="K61" s="64"/>
    </row>
    <row r="62" spans="1:12">
      <c r="H62" s="64"/>
      <c r="I62" s="64"/>
      <c r="J62" s="64"/>
      <c r="K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4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03"/>
  <sheetViews>
    <sheetView topLeftCell="G19" zoomScale="45" zoomScaleNormal="45" workbookViewId="0">
      <selection activeCell="B11" sqref="B11:I11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138100000535</v>
      </c>
      <c r="D5" s="18" t="s">
        <v>170</v>
      </c>
      <c r="E5" s="28">
        <v>58002</v>
      </c>
      <c r="F5" s="12">
        <v>11</v>
      </c>
      <c r="G5" s="12" t="s">
        <v>172</v>
      </c>
      <c r="H5" s="19">
        <v>57540</v>
      </c>
      <c r="I5" s="16">
        <v>11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138100000560</v>
      </c>
      <c r="D6" s="12" t="s">
        <v>178</v>
      </c>
      <c r="E6" s="19">
        <v>5184</v>
      </c>
      <c r="F6" s="12">
        <v>1</v>
      </c>
      <c r="G6" s="12" t="s">
        <v>179</v>
      </c>
      <c r="H6" s="19">
        <v>4906</v>
      </c>
      <c r="I6" s="14">
        <v>1</v>
      </c>
      <c r="J6" s="99" t="s">
        <v>16</v>
      </c>
      <c r="K6" s="100"/>
      <c r="L6" s="101">
        <v>0</v>
      </c>
      <c r="M6" s="102"/>
      <c r="N6" s="20" t="s">
        <v>17</v>
      </c>
      <c r="O6" s="21">
        <f>(O9-L6)/O9</f>
        <v>1</v>
      </c>
      <c r="Q6" s="22"/>
    </row>
    <row r="7" spans="1:17" ht="64.349999999999994" customHeight="1">
      <c r="A7" s="108"/>
      <c r="B7" s="10">
        <v>3</v>
      </c>
      <c r="C7" s="11">
        <v>138100000565</v>
      </c>
      <c r="D7" s="18" t="s">
        <v>180</v>
      </c>
      <c r="E7" s="19">
        <v>5730</v>
      </c>
      <c r="F7" s="12">
        <v>1</v>
      </c>
      <c r="G7" s="12" t="s">
        <v>182</v>
      </c>
      <c r="H7" s="19">
        <v>5662</v>
      </c>
      <c r="I7" s="14">
        <v>1</v>
      </c>
      <c r="J7" s="99" t="s">
        <v>18</v>
      </c>
      <c r="K7" s="100"/>
      <c r="L7" s="101">
        <f>L6+'11-05-26'!L7:M7</f>
        <v>150.25200000000004</v>
      </c>
      <c r="M7" s="102"/>
      <c r="N7" s="26" t="s">
        <v>19</v>
      </c>
      <c r="O7" s="27">
        <f>(O10-L7)/O10</f>
        <v>0.97156096698617633</v>
      </c>
    </row>
    <row r="8" spans="1:17" ht="64.349999999999994" customHeight="1">
      <c r="A8" s="108"/>
      <c r="B8" s="17">
        <v>4</v>
      </c>
      <c r="C8" s="11">
        <v>138100000566</v>
      </c>
      <c r="D8" s="18" t="s">
        <v>181</v>
      </c>
      <c r="E8" s="15">
        <v>113298</v>
      </c>
      <c r="F8" s="12">
        <v>20</v>
      </c>
      <c r="G8" s="12" t="s">
        <v>182</v>
      </c>
      <c r="H8" s="19">
        <v>112426</v>
      </c>
      <c r="I8" s="14">
        <v>20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138100000552</v>
      </c>
      <c r="D9" s="18" t="s">
        <v>183</v>
      </c>
      <c r="E9" s="19">
        <v>102987</v>
      </c>
      <c r="F9" s="18">
        <v>19</v>
      </c>
      <c r="G9" s="12" t="s">
        <v>184</v>
      </c>
      <c r="H9" s="28">
        <v>101650</v>
      </c>
      <c r="I9" s="16">
        <v>19</v>
      </c>
      <c r="J9" s="99" t="s">
        <v>22</v>
      </c>
      <c r="K9" s="100"/>
      <c r="L9" s="101">
        <v>534.93399999999997</v>
      </c>
      <c r="M9" s="102"/>
      <c r="N9" s="30" t="s">
        <v>22</v>
      </c>
      <c r="O9" s="31">
        <v>529.97</v>
      </c>
      <c r="Q9" s="32"/>
    </row>
    <row r="10" spans="1:17" ht="64.349999999999994" customHeight="1">
      <c r="A10" s="108"/>
      <c r="B10" s="17">
        <v>6</v>
      </c>
      <c r="C10" s="11">
        <v>138100000553</v>
      </c>
      <c r="D10" s="18" t="s">
        <v>185</v>
      </c>
      <c r="E10" s="28">
        <v>89275</v>
      </c>
      <c r="F10" s="12">
        <v>17</v>
      </c>
      <c r="G10" s="12" t="s">
        <v>187</v>
      </c>
      <c r="H10" s="28">
        <v>88580</v>
      </c>
      <c r="I10" s="14">
        <v>17</v>
      </c>
      <c r="J10" s="99" t="s">
        <v>23</v>
      </c>
      <c r="K10" s="100"/>
      <c r="L10" s="101">
        <f>L9+'11-05-26'!L10:M10</f>
        <v>5330.4969999999994</v>
      </c>
      <c r="M10" s="102"/>
      <c r="N10" s="30" t="s">
        <v>23</v>
      </c>
      <c r="O10" s="70">
        <f>O9+'11-05-26'!O10</f>
        <v>5283.3019999999997</v>
      </c>
      <c r="Q10" s="64"/>
    </row>
    <row r="11" spans="1:17" ht="64.349999999999994" customHeight="1">
      <c r="A11" s="108"/>
      <c r="B11" s="10">
        <v>7</v>
      </c>
      <c r="C11" s="11">
        <v>138100000572</v>
      </c>
      <c r="D11" s="25" t="s">
        <v>186</v>
      </c>
      <c r="E11" s="13">
        <v>160458</v>
      </c>
      <c r="F11" s="12">
        <v>32</v>
      </c>
      <c r="G11" s="25" t="s">
        <v>194</v>
      </c>
      <c r="H11" s="13">
        <v>159206</v>
      </c>
      <c r="I11" s="14">
        <v>32</v>
      </c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52.997</v>
      </c>
      <c r="M12" s="120"/>
      <c r="N12" s="33" t="s">
        <v>27</v>
      </c>
      <c r="O12" s="27">
        <f>(11-I33)/11</f>
        <v>0.90909090909090906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46.837783687943258</v>
      </c>
      <c r="M13" s="120"/>
      <c r="N13" s="33" t="s">
        <v>29</v>
      </c>
      <c r="O13" s="27">
        <f>O46/L46</f>
        <v>0.93223140495867762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188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3717</v>
      </c>
      <c r="M15" s="132"/>
      <c r="N15" s="33" t="s">
        <v>35</v>
      </c>
      <c r="O15" s="36">
        <f>L15/L9</f>
        <v>6.9485207520927821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20</v>
      </c>
      <c r="I16" s="35">
        <f>ROUND(H16/60,1)</f>
        <v>0.3</v>
      </c>
      <c r="J16" s="99" t="s">
        <v>36</v>
      </c>
      <c r="K16" s="100"/>
      <c r="L16" s="131">
        <f>L15+'11-05-26'!L16:M16</f>
        <v>36601</v>
      </c>
      <c r="M16" s="132"/>
      <c r="N16" s="33" t="s">
        <v>37</v>
      </c>
      <c r="O16" s="36">
        <f>L16/L10</f>
        <v>6.8663391049652605</v>
      </c>
      <c r="Q16" s="64"/>
    </row>
    <row r="17" spans="1:17" ht="58.8" customHeight="1">
      <c r="A17" s="108"/>
      <c r="B17" s="127" t="s">
        <v>189</v>
      </c>
      <c r="C17" s="127"/>
      <c r="D17" s="127"/>
      <c r="E17" s="127"/>
      <c r="F17" s="127"/>
      <c r="G17" s="128"/>
      <c r="H17" s="133">
        <v>6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10</v>
      </c>
      <c r="M18" s="132"/>
      <c r="N18" s="33" t="s">
        <v>40</v>
      </c>
      <c r="O18" s="37">
        <f>L18/L9</f>
        <v>1.8693894947787951E-2</v>
      </c>
      <c r="Q18" s="64"/>
    </row>
    <row r="19" spans="1:17" ht="58.8" customHeight="1">
      <c r="A19" s="108"/>
      <c r="B19" s="127" t="s">
        <v>190</v>
      </c>
      <c r="C19" s="127"/>
      <c r="D19" s="127"/>
      <c r="E19" s="127"/>
      <c r="F19" s="127"/>
      <c r="G19" s="128"/>
      <c r="H19" s="133">
        <v>25</v>
      </c>
      <c r="I19" s="133">
        <f>ROUND(H19/60,1)</f>
        <v>0.4</v>
      </c>
      <c r="J19" s="99" t="s">
        <v>41</v>
      </c>
      <c r="K19" s="100"/>
      <c r="L19" s="131">
        <f>L18+'11-05-26'!L19:M19</f>
        <v>105</v>
      </c>
      <c r="M19" s="132"/>
      <c r="N19" s="33" t="s">
        <v>42</v>
      </c>
      <c r="O19" s="38">
        <f>L19/L10</f>
        <v>1.9697975629664553E-2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 t="s">
        <v>191</v>
      </c>
      <c r="C21" s="127"/>
      <c r="D21" s="127"/>
      <c r="E21" s="127"/>
      <c r="F21" s="127"/>
      <c r="G21" s="128"/>
      <c r="H21" s="133">
        <v>15</v>
      </c>
      <c r="I21" s="202">
        <f>ROUND(H21/60,1)</f>
        <v>0.3</v>
      </c>
      <c r="J21" s="99" t="s">
        <v>45</v>
      </c>
      <c r="K21" s="100"/>
      <c r="L21" s="131">
        <v>354</v>
      </c>
      <c r="M21" s="132"/>
      <c r="N21" s="30" t="s">
        <v>45</v>
      </c>
      <c r="O21" s="39">
        <v>520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202"/>
      <c r="J22" s="99" t="s">
        <v>46</v>
      </c>
      <c r="K22" s="100"/>
      <c r="L22" s="131">
        <f>L21+'11-05-26'!L22:M22</f>
        <v>3840</v>
      </c>
      <c r="M22" s="132"/>
      <c r="N22" s="30" t="s">
        <v>46</v>
      </c>
      <c r="O22" s="39">
        <f>O21+'11-05-26'!O22</f>
        <v>4236</v>
      </c>
      <c r="Q22" s="64"/>
    </row>
    <row r="23" spans="1:17" ht="58.8" customHeight="1">
      <c r="A23" s="108"/>
      <c r="B23" s="127" t="s">
        <v>192</v>
      </c>
      <c r="C23" s="127"/>
      <c r="D23" s="127"/>
      <c r="E23" s="127"/>
      <c r="F23" s="127"/>
      <c r="G23" s="128"/>
      <c r="H23" s="133">
        <v>8</v>
      </c>
      <c r="I23" s="202">
        <f t="shared" ref="I23" si="1">ROUND(H23/60,1)</f>
        <v>0.1</v>
      </c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202"/>
      <c r="J24" s="99" t="s">
        <v>45</v>
      </c>
      <c r="K24" s="100"/>
      <c r="L24" s="131">
        <v>322</v>
      </c>
      <c r="M24" s="132"/>
      <c r="N24" s="30" t="s">
        <v>45</v>
      </c>
      <c r="O24" s="40"/>
      <c r="Q24" s="64"/>
    </row>
    <row r="25" spans="1:17" ht="58.8" customHeight="1">
      <c r="A25" s="108"/>
      <c r="B25" s="127" t="s">
        <v>193</v>
      </c>
      <c r="C25" s="127"/>
      <c r="D25" s="127"/>
      <c r="E25" s="127"/>
      <c r="F25" s="127"/>
      <c r="G25" s="128"/>
      <c r="H25" s="133">
        <v>5</v>
      </c>
      <c r="I25" s="202">
        <f t="shared" ref="I25" si="2">ROUND(H25/60,1)</f>
        <v>0.1</v>
      </c>
      <c r="J25" s="99" t="s">
        <v>46</v>
      </c>
      <c r="K25" s="100"/>
      <c r="L25" s="131">
        <f>L24+'11-05-26'!L25:M25</f>
        <v>2135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202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1369</v>
      </c>
      <c r="M27" s="156"/>
      <c r="N27" s="41" t="s">
        <v>51</v>
      </c>
      <c r="O27" s="42">
        <f>L27/L9</f>
        <v>2.5591942183521708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L27+'11-05-26'!L28:M28</f>
        <v>16205</v>
      </c>
      <c r="M28" s="156"/>
      <c r="N28" s="41" t="s">
        <v>53</v>
      </c>
      <c r="O28" s="42">
        <f>L28/L10</f>
        <v>3.0400542388448959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30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L30+'11-05-26'!L31:O31</f>
        <v>315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1</v>
      </c>
      <c r="J33" s="99" t="s">
        <v>34</v>
      </c>
      <c r="K33" s="100"/>
      <c r="L33" s="131">
        <v>20494</v>
      </c>
      <c r="M33" s="132"/>
      <c r="N33" s="33" t="s">
        <v>58</v>
      </c>
      <c r="O33" s="43">
        <f>L33/O9</f>
        <v>38.670113402645434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L33+'11-05-26'!L34:M34</f>
        <v>221314</v>
      </c>
      <c r="M34" s="132"/>
      <c r="N34" s="33" t="s">
        <v>59</v>
      </c>
      <c r="O34" s="43">
        <f>L34/O10</f>
        <v>41.889333602357013</v>
      </c>
      <c r="Q34" s="64"/>
    </row>
    <row r="35" spans="1:17" ht="43.35" customHeight="1">
      <c r="A35" s="107" t="s">
        <v>60</v>
      </c>
      <c r="B35" s="203"/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102</v>
      </c>
      <c r="M36" s="45">
        <f>L36+'11-05-26'!M36</f>
        <v>2125</v>
      </c>
      <c r="N36" s="65">
        <f>L36/1000/L9</f>
        <v>1.9067772846743711E-4</v>
      </c>
      <c r="O36" s="66">
        <f>M36/1000/L10</f>
        <v>3.9864950679083022E-4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142</v>
      </c>
      <c r="M37" s="45">
        <f>L37+'11-05-26'!M37</f>
        <v>2320</v>
      </c>
      <c r="N37" s="65">
        <f>L37/1000/L9</f>
        <v>2.6545330825858892E-4</v>
      </c>
      <c r="O37" s="66">
        <f>M37/1000/L10</f>
        <v>4.3523146153163583E-4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245</v>
      </c>
      <c r="M38" s="46">
        <f>L38+'11-05-26'!M38</f>
        <v>2629</v>
      </c>
      <c r="N38" s="65">
        <f>L38/1000/L9</f>
        <v>4.5800042622080482E-4</v>
      </c>
      <c r="O38" s="66">
        <f>M38/1000/L10</f>
        <v>4.9319978981322008E-4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489</v>
      </c>
      <c r="M39" s="132"/>
      <c r="N39" s="30" t="s">
        <v>66</v>
      </c>
      <c r="O39" s="47">
        <f>O9/L9</f>
        <v>0.99072035054791818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L39+'11-05-26'!L40:M40</f>
        <v>7074</v>
      </c>
      <c r="M40" s="132"/>
      <c r="N40" s="30" t="s">
        <v>29</v>
      </c>
      <c r="O40" s="47">
        <f>(O10)/(L10-L22/1000)</f>
        <v>0.99186074868346141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L42+'11-05-26'!L43:M43</f>
        <v>680</v>
      </c>
      <c r="M43" s="183"/>
      <c r="N43" s="49" t="s">
        <v>70</v>
      </c>
      <c r="O43" s="50">
        <f>L43/O10</f>
        <v>0.12870738791763181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L45+'11-05-26'!L46:M46</f>
        <v>121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'!I33-'11-05-26'!I33,1)</f>
        <v>112.8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  <c r="L53" s="64"/>
    </row>
    <row r="54" spans="1:12">
      <c r="J54" s="64"/>
      <c r="K54" s="64"/>
      <c r="L54" s="64"/>
    </row>
    <row r="55" spans="1:12">
      <c r="J55" s="64"/>
      <c r="K55" s="64"/>
      <c r="L55" s="64"/>
    </row>
    <row r="56" spans="1:12">
      <c r="E56" s="62"/>
      <c r="J56" s="64"/>
      <c r="K56" s="64"/>
      <c r="L56" s="64"/>
    </row>
    <row r="57" spans="1:12">
      <c r="J57" s="64"/>
      <c r="K57" s="64"/>
      <c r="L57" s="64"/>
    </row>
    <row r="58" spans="1:12">
      <c r="H58" s="69"/>
      <c r="J58" s="64"/>
      <c r="K58" s="64"/>
      <c r="L58" s="64"/>
    </row>
    <row r="59" spans="1:12">
      <c r="H59" s="64"/>
      <c r="I59" s="64"/>
      <c r="J59" s="64"/>
      <c r="K59" s="64"/>
      <c r="L59" s="64"/>
    </row>
    <row r="60" spans="1:12">
      <c r="H60" s="64"/>
      <c r="I60" s="64"/>
      <c r="J60" s="64"/>
      <c r="K60" s="64"/>
      <c r="L60" s="64"/>
    </row>
    <row r="61" spans="1:12">
      <c r="H61" s="64"/>
      <c r="I61" s="64"/>
      <c r="J61" s="64"/>
      <c r="K61" s="64"/>
      <c r="L61" s="64"/>
    </row>
    <row r="62" spans="1:12">
      <c r="H62" s="64"/>
      <c r="I62" s="64"/>
      <c r="J62" s="64"/>
      <c r="K62" s="64"/>
      <c r="L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4"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03"/>
  <sheetViews>
    <sheetView topLeftCell="G22" zoomScale="45" zoomScaleNormal="45" workbookViewId="0">
      <selection activeCell="F12" sqref="F12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138100000572</v>
      </c>
      <c r="D5" s="12" t="s">
        <v>186</v>
      </c>
      <c r="E5" s="13">
        <v>135784</v>
      </c>
      <c r="F5" s="12">
        <v>27</v>
      </c>
      <c r="G5" s="12" t="s">
        <v>194</v>
      </c>
      <c r="H5" s="19">
        <v>134762</v>
      </c>
      <c r="I5" s="16">
        <v>27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138100000554</v>
      </c>
      <c r="D6" s="12" t="s">
        <v>195</v>
      </c>
      <c r="E6" s="19">
        <v>9905</v>
      </c>
      <c r="F6" s="12">
        <v>2</v>
      </c>
      <c r="G6" s="12" t="s">
        <v>197</v>
      </c>
      <c r="H6" s="19">
        <v>9818</v>
      </c>
      <c r="I6" s="14">
        <v>2</v>
      </c>
      <c r="J6" s="99" t="s">
        <v>16</v>
      </c>
      <c r="K6" s="100"/>
      <c r="L6" s="101">
        <v>14.112</v>
      </c>
      <c r="M6" s="102"/>
      <c r="N6" s="20" t="s">
        <v>17</v>
      </c>
      <c r="O6" s="21">
        <f>(O9-L6)/O9</f>
        <v>0.97187421524038053</v>
      </c>
      <c r="Q6" s="22"/>
    </row>
    <row r="7" spans="1:17" ht="64.349999999999994" customHeight="1">
      <c r="A7" s="108"/>
      <c r="B7" s="10">
        <v>3</v>
      </c>
      <c r="C7" s="11">
        <v>138100000555</v>
      </c>
      <c r="D7" s="18" t="s">
        <v>196</v>
      </c>
      <c r="E7" s="19">
        <v>159168</v>
      </c>
      <c r="F7" s="12">
        <v>33</v>
      </c>
      <c r="G7" s="12" t="s">
        <v>197</v>
      </c>
      <c r="H7" s="19">
        <v>158032</v>
      </c>
      <c r="I7" s="14">
        <v>33</v>
      </c>
      <c r="J7" s="99" t="s">
        <v>18</v>
      </c>
      <c r="K7" s="100"/>
      <c r="L7" s="101">
        <f>L6+'12-05-26 '!L7:M7</f>
        <v>164.36400000000003</v>
      </c>
      <c r="M7" s="102"/>
      <c r="N7" s="26" t="s">
        <v>19</v>
      </c>
      <c r="O7" s="27">
        <f>(O10-L7)/O10</f>
        <v>0.971588135483059</v>
      </c>
    </row>
    <row r="8" spans="1:17" ht="64.349999999999994" customHeight="1">
      <c r="A8" s="108"/>
      <c r="B8" s="17">
        <v>4</v>
      </c>
      <c r="C8" s="11">
        <v>138100000523</v>
      </c>
      <c r="D8" s="18" t="s">
        <v>198</v>
      </c>
      <c r="E8" s="15">
        <v>91185</v>
      </c>
      <c r="F8" s="12">
        <v>20</v>
      </c>
      <c r="G8" s="12" t="s">
        <v>199</v>
      </c>
      <c r="H8" s="19">
        <v>90104</v>
      </c>
      <c r="I8" s="14">
        <v>20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138100000524</v>
      </c>
      <c r="D9" s="18" t="s">
        <v>200</v>
      </c>
      <c r="E9" s="19">
        <v>110114</v>
      </c>
      <c r="F9" s="18">
        <v>24</v>
      </c>
      <c r="G9" s="12" t="s">
        <v>199</v>
      </c>
      <c r="H9" s="28">
        <v>109030</v>
      </c>
      <c r="I9" s="16">
        <v>24</v>
      </c>
      <c r="J9" s="99" t="s">
        <v>22</v>
      </c>
      <c r="K9" s="100"/>
      <c r="L9" s="101">
        <v>506.15600000000001</v>
      </c>
      <c r="M9" s="102"/>
      <c r="N9" s="30" t="s">
        <v>22</v>
      </c>
      <c r="O9" s="31">
        <v>501.74599999999998</v>
      </c>
      <c r="Q9" s="32"/>
    </row>
    <row r="10" spans="1:17" ht="64.349999999999994" customHeight="1">
      <c r="A10" s="108"/>
      <c r="B10" s="17"/>
      <c r="C10" s="11"/>
      <c r="D10" s="18"/>
      <c r="E10" s="28"/>
      <c r="F10" s="12"/>
      <c r="G10" s="12"/>
      <c r="H10" s="28"/>
      <c r="I10" s="14"/>
      <c r="J10" s="99" t="s">
        <v>23</v>
      </c>
      <c r="K10" s="100"/>
      <c r="L10" s="101">
        <f>L9+'12-05-26 '!L10:M10</f>
        <v>5836.6529999999993</v>
      </c>
      <c r="M10" s="102"/>
      <c r="N10" s="30" t="s">
        <v>23</v>
      </c>
      <c r="O10" s="70">
        <f>O9+'12-05-26 '!O10</f>
        <v>5785.0479999999998</v>
      </c>
      <c r="Q10" s="64"/>
    </row>
    <row r="11" spans="1:17" ht="64.349999999999994" customHeight="1">
      <c r="A11" s="108"/>
      <c r="B11" s="10"/>
      <c r="C11" s="11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47.785333333333334</v>
      </c>
      <c r="M12" s="120"/>
      <c r="N12" s="33" t="s">
        <v>27</v>
      </c>
      <c r="O12" s="27">
        <f>(11-I33)/11</f>
        <v>0.95454545454545459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46.918475263584753</v>
      </c>
      <c r="M13" s="120"/>
      <c r="N13" s="33" t="s">
        <v>29</v>
      </c>
      <c r="O13" s="27">
        <f>O46/L46</f>
        <v>0.93409090909090908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201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3514</v>
      </c>
      <c r="M15" s="132"/>
      <c r="N15" s="33" t="s">
        <v>35</v>
      </c>
      <c r="O15" s="36">
        <f>L15/L9</f>
        <v>6.9425236488355369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7</v>
      </c>
      <c r="I16" s="35">
        <f>ROUND(H16/60,1)</f>
        <v>0.1</v>
      </c>
      <c r="J16" s="99" t="s">
        <v>36</v>
      </c>
      <c r="K16" s="100"/>
      <c r="L16" s="131">
        <f>L15+'12-05-26 '!L16:M16</f>
        <v>40115</v>
      </c>
      <c r="M16" s="132"/>
      <c r="N16" s="33" t="s">
        <v>37</v>
      </c>
      <c r="O16" s="36">
        <f>L16/L10</f>
        <v>6.8729458475602376</v>
      </c>
      <c r="Q16" s="64"/>
    </row>
    <row r="17" spans="1:17" ht="58.8" customHeight="1">
      <c r="A17" s="108"/>
      <c r="B17" s="127" t="s">
        <v>202</v>
      </c>
      <c r="C17" s="127"/>
      <c r="D17" s="127"/>
      <c r="E17" s="127"/>
      <c r="F17" s="127"/>
      <c r="G17" s="128"/>
      <c r="H17" s="133">
        <v>18</v>
      </c>
      <c r="I17" s="133">
        <f t="shared" ref="I17" si="0">ROUND(H17/60,1)</f>
        <v>0.3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9</v>
      </c>
      <c r="M18" s="132"/>
      <c r="N18" s="33" t="s">
        <v>40</v>
      </c>
      <c r="O18" s="37">
        <f>L18/L9</f>
        <v>1.7781079351030116E-2</v>
      </c>
      <c r="Q18" s="64"/>
    </row>
    <row r="19" spans="1:17" ht="58.8" customHeight="1">
      <c r="A19" s="108"/>
      <c r="B19" s="127" t="s">
        <v>203</v>
      </c>
      <c r="C19" s="127"/>
      <c r="D19" s="127"/>
      <c r="E19" s="127"/>
      <c r="F19" s="127"/>
      <c r="G19" s="128"/>
      <c r="H19" s="133">
        <v>5</v>
      </c>
      <c r="I19" s="133">
        <f>ROUND(H19/60,1)</f>
        <v>0.1</v>
      </c>
      <c r="J19" s="99" t="s">
        <v>41</v>
      </c>
      <c r="K19" s="100"/>
      <c r="L19" s="131">
        <f>L18+'12-05-26 '!L19:M19</f>
        <v>114</v>
      </c>
      <c r="M19" s="132"/>
      <c r="N19" s="33" t="s">
        <v>42</v>
      </c>
      <c r="O19" s="38">
        <f>L19/L10</f>
        <v>1.9531741907562437E-2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 t="s">
        <v>204</v>
      </c>
      <c r="C21" s="127"/>
      <c r="D21" s="127"/>
      <c r="E21" s="127"/>
      <c r="F21" s="127"/>
      <c r="G21" s="128"/>
      <c r="H21" s="133">
        <v>6</v>
      </c>
      <c r="I21" s="202">
        <f>ROUND(H21/60,1)</f>
        <v>0.1</v>
      </c>
      <c r="J21" s="99" t="s">
        <v>45</v>
      </c>
      <c r="K21" s="100"/>
      <c r="L21" s="131">
        <v>372</v>
      </c>
      <c r="M21" s="132"/>
      <c r="N21" s="30" t="s">
        <v>45</v>
      </c>
      <c r="O21" s="39">
        <v>566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202"/>
      <c r="J22" s="99" t="s">
        <v>46</v>
      </c>
      <c r="K22" s="100"/>
      <c r="L22" s="131">
        <f>L21+'12-05-26 '!L22:M22</f>
        <v>4212</v>
      </c>
      <c r="M22" s="132"/>
      <c r="N22" s="30" t="s">
        <v>46</v>
      </c>
      <c r="O22" s="39">
        <f>O21+'12-05-26 '!O22</f>
        <v>4802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202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202"/>
      <c r="J24" s="99" t="s">
        <v>45</v>
      </c>
      <c r="K24" s="100"/>
      <c r="L24" s="131">
        <v>250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202"/>
      <c r="J25" s="99" t="s">
        <v>46</v>
      </c>
      <c r="K25" s="100"/>
      <c r="L25" s="131">
        <f>L24+'12-05-26 '!L25:M25</f>
        <v>2385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202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1399</v>
      </c>
      <c r="M27" s="156"/>
      <c r="N27" s="41" t="s">
        <v>51</v>
      </c>
      <c r="O27" s="42">
        <f>L27/L9</f>
        <v>2.7639700013434592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L27+'12-05-26 '!L28:M28</f>
        <v>17604</v>
      </c>
      <c r="M28" s="156"/>
      <c r="N28" s="41" t="s">
        <v>53</v>
      </c>
      <c r="O28" s="42">
        <f>L28/L10</f>
        <v>3.0161121450941151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27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L30+'12-05-26 '!L31:O31</f>
        <v>342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0.5</v>
      </c>
      <c r="J33" s="99" t="s">
        <v>34</v>
      </c>
      <c r="K33" s="100"/>
      <c r="L33" s="131">
        <v>19164</v>
      </c>
      <c r="M33" s="132"/>
      <c r="N33" s="33" t="s">
        <v>58</v>
      </c>
      <c r="O33" s="43">
        <f>L33/O9</f>
        <v>38.194624371694047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L33+'12-05-26 '!L34:M34</f>
        <v>240478</v>
      </c>
      <c r="M34" s="132"/>
      <c r="N34" s="33" t="s">
        <v>59</v>
      </c>
      <c r="O34" s="43">
        <f>L34/O10</f>
        <v>41.568885858855452</v>
      </c>
      <c r="Q34" s="64"/>
    </row>
    <row r="35" spans="1:17" ht="43.35" customHeight="1">
      <c r="A35" s="107" t="s">
        <v>60</v>
      </c>
      <c r="B35" s="203" t="s">
        <v>205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126</v>
      </c>
      <c r="M36" s="45">
        <f>L36+'12-05-26 '!M36</f>
        <v>2251</v>
      </c>
      <c r="N36" s="65">
        <f>L36/1000/L9</f>
        <v>2.4893511091442162E-4</v>
      </c>
      <c r="O36" s="66">
        <f>M36/1000/L10</f>
        <v>3.8566623713967579E-4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210</v>
      </c>
      <c r="M37" s="45">
        <f>L37+'12-05-26 '!M37</f>
        <v>2530</v>
      </c>
      <c r="N37" s="65">
        <f>L37/1000/L9</f>
        <v>4.1489185152403604E-4</v>
      </c>
      <c r="O37" s="66">
        <f>M37/1000/L10</f>
        <v>4.3346760549239438E-4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300</v>
      </c>
      <c r="M38" s="46">
        <f>L38+'12-05-26 '!M38</f>
        <v>2929</v>
      </c>
      <c r="N38" s="65">
        <f>L38/1000/L9</f>
        <v>5.9270264503433721E-4</v>
      </c>
      <c r="O38" s="66">
        <f>M38/1000/L10</f>
        <v>5.0182870216886294E-4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636</v>
      </c>
      <c r="M39" s="132"/>
      <c r="N39" s="30" t="s">
        <v>66</v>
      </c>
      <c r="O39" s="47">
        <f>O9/L9</f>
        <v>0.99128727111799519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L39+'12-05-26 '!L40:M40</f>
        <v>7710</v>
      </c>
      <c r="M40" s="132"/>
      <c r="N40" s="30" t="s">
        <v>29</v>
      </c>
      <c r="O40" s="47">
        <f>(O10)/(L10-L22/1000)</f>
        <v>0.99187424270558433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60</v>
      </c>
      <c r="M42" s="132"/>
      <c r="N42" s="33" t="s">
        <v>69</v>
      </c>
      <c r="O42" s="43">
        <f>L42/O9</f>
        <v>0.11958241819566076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L42+'12-05-26 '!L43:M43</f>
        <v>740</v>
      </c>
      <c r="M43" s="183"/>
      <c r="N43" s="49" t="s">
        <v>70</v>
      </c>
      <c r="O43" s="50">
        <f>L43/O10</f>
        <v>0.12791596543364897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10.5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L45+'12-05-26 '!L46:M46</f>
        <v>132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'!I33,1)</f>
        <v>123.3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  <c r="L53" s="64"/>
    </row>
    <row r="54" spans="1:12">
      <c r="J54" s="64"/>
      <c r="K54" s="64"/>
      <c r="L54" s="64"/>
    </row>
    <row r="55" spans="1:12">
      <c r="J55" s="64"/>
      <c r="K55" s="64"/>
      <c r="L55" s="64"/>
    </row>
    <row r="56" spans="1:12">
      <c r="E56" s="62"/>
      <c r="J56" s="64"/>
      <c r="K56" s="64"/>
      <c r="L56" s="64"/>
    </row>
    <row r="57" spans="1:12">
      <c r="J57" s="64"/>
      <c r="K57" s="64"/>
      <c r="L57" s="64"/>
    </row>
    <row r="58" spans="1:12">
      <c r="H58" s="69"/>
      <c r="J58" s="64"/>
      <c r="K58" s="64"/>
      <c r="L58" s="64"/>
    </row>
    <row r="59" spans="1:12">
      <c r="H59" s="64"/>
      <c r="I59" s="64"/>
      <c r="J59" s="64"/>
      <c r="K59" s="64"/>
      <c r="L59" s="64"/>
    </row>
    <row r="60" spans="1:12">
      <c r="H60" s="64"/>
      <c r="I60" s="64"/>
      <c r="J60" s="64"/>
      <c r="K60" s="64"/>
      <c r="L60" s="64"/>
    </row>
    <row r="61" spans="1:12">
      <c r="H61" s="64"/>
      <c r="I61" s="64"/>
      <c r="J61" s="64"/>
      <c r="K61" s="64"/>
      <c r="L61" s="64"/>
    </row>
    <row r="62" spans="1:12">
      <c r="H62" s="64"/>
      <c r="I62" s="64"/>
      <c r="J62" s="64"/>
      <c r="K62" s="64"/>
      <c r="L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4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03"/>
  <sheetViews>
    <sheetView topLeftCell="H25" zoomScale="47" zoomScaleNormal="47" workbookViewId="0">
      <selection activeCell="P27" sqref="P27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138100000524</v>
      </c>
      <c r="D5" s="18" t="s">
        <v>200</v>
      </c>
      <c r="E5" s="19">
        <v>41374</v>
      </c>
      <c r="F5" s="18">
        <v>9</v>
      </c>
      <c r="G5" s="12" t="s">
        <v>199</v>
      </c>
      <c r="H5" s="19">
        <v>41214</v>
      </c>
      <c r="I5" s="16">
        <v>9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138100000523</v>
      </c>
      <c r="D6" s="12" t="s">
        <v>198</v>
      </c>
      <c r="E6" s="19">
        <v>13596</v>
      </c>
      <c r="F6" s="12">
        <v>3</v>
      </c>
      <c r="G6" s="12" t="s">
        <v>199</v>
      </c>
      <c r="H6" s="19">
        <v>13352</v>
      </c>
      <c r="I6" s="14">
        <v>3</v>
      </c>
      <c r="J6" s="99" t="s">
        <v>16</v>
      </c>
      <c r="K6" s="100"/>
      <c r="L6" s="101">
        <v>8.9920000000000009</v>
      </c>
      <c r="M6" s="102"/>
      <c r="N6" s="20" t="s">
        <v>17</v>
      </c>
      <c r="O6" s="21">
        <f>(O9-L6)/O9</f>
        <v>0.9802762033446224</v>
      </c>
      <c r="Q6" s="22"/>
    </row>
    <row r="7" spans="1:17" ht="64.349999999999994" customHeight="1">
      <c r="A7" s="108"/>
      <c r="B7" s="10">
        <v>3</v>
      </c>
      <c r="C7" s="11">
        <v>138100000581</v>
      </c>
      <c r="D7" s="18" t="s">
        <v>208</v>
      </c>
      <c r="E7" s="19">
        <v>13269</v>
      </c>
      <c r="F7" s="12">
        <v>2</v>
      </c>
      <c r="G7" s="12" t="s">
        <v>209</v>
      </c>
      <c r="H7" s="19">
        <v>12914</v>
      </c>
      <c r="I7" s="14">
        <v>2</v>
      </c>
      <c r="J7" s="99" t="s">
        <v>18</v>
      </c>
      <c r="K7" s="100"/>
      <c r="L7" s="101">
        <f>L6+'13-05-26'!L7:M7</f>
        <v>173.35600000000002</v>
      </c>
      <c r="M7" s="102"/>
      <c r="N7" s="26" t="s">
        <v>19</v>
      </c>
      <c r="O7" s="27">
        <f>(O10-L7)/O10</f>
        <v>0.97222279193660455</v>
      </c>
    </row>
    <row r="8" spans="1:17" ht="64.349999999999994" customHeight="1">
      <c r="A8" s="108"/>
      <c r="B8" s="17">
        <v>4</v>
      </c>
      <c r="C8" s="11">
        <v>138100000526</v>
      </c>
      <c r="D8" s="18" t="s">
        <v>206</v>
      </c>
      <c r="E8" s="15">
        <v>383498</v>
      </c>
      <c r="F8" s="12">
        <v>84</v>
      </c>
      <c r="G8" s="12" t="s">
        <v>207</v>
      </c>
      <c r="H8" s="19">
        <v>380600</v>
      </c>
      <c r="I8" s="14">
        <v>84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138100000528</v>
      </c>
      <c r="D9" s="18" t="s">
        <v>212</v>
      </c>
      <c r="E9" s="19">
        <v>7966</v>
      </c>
      <c r="F9" s="18">
        <v>2</v>
      </c>
      <c r="G9" s="12" t="s">
        <v>213</v>
      </c>
      <c r="H9" s="28">
        <v>7816</v>
      </c>
      <c r="I9" s="16">
        <v>2</v>
      </c>
      <c r="J9" s="99" t="s">
        <v>22</v>
      </c>
      <c r="K9" s="100"/>
      <c r="L9" s="101">
        <v>459.70299999999997</v>
      </c>
      <c r="M9" s="102"/>
      <c r="N9" s="30" t="s">
        <v>22</v>
      </c>
      <c r="O9" s="31">
        <v>455.89600000000002</v>
      </c>
      <c r="Q9" s="32"/>
    </row>
    <row r="10" spans="1:17" ht="64.349999999999994" customHeight="1">
      <c r="A10" s="108"/>
      <c r="B10" s="17"/>
      <c r="C10" s="11"/>
      <c r="D10" s="18"/>
      <c r="E10" s="28"/>
      <c r="F10" s="12"/>
      <c r="G10" s="12"/>
      <c r="H10" s="28"/>
      <c r="I10" s="14"/>
      <c r="J10" s="99" t="s">
        <v>23</v>
      </c>
      <c r="K10" s="100"/>
      <c r="L10" s="101">
        <f>L9+'13-05-26'!L10:M10</f>
        <v>6296.3559999999998</v>
      </c>
      <c r="M10" s="102"/>
      <c r="N10" s="30" t="s">
        <v>23</v>
      </c>
      <c r="O10" s="70">
        <f>O9+'13-05-26'!O10</f>
        <v>6240.9439999999995</v>
      </c>
      <c r="Q10" s="64"/>
    </row>
    <row r="11" spans="1:17" ht="64.349999999999994" customHeight="1">
      <c r="A11" s="108"/>
      <c r="B11" s="10"/>
      <c r="C11" s="11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43.418666666666667</v>
      </c>
      <c r="M12" s="120"/>
      <c r="N12" s="33" t="s">
        <v>27</v>
      </c>
      <c r="O12" s="27">
        <f>(11-I33)/11</f>
        <v>0.95454545454545459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46.643826606875926</v>
      </c>
      <c r="M13" s="120"/>
      <c r="N13" s="33" t="s">
        <v>29</v>
      </c>
      <c r="O13" s="27">
        <f>O46/L46</f>
        <v>0.93566433566433571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210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3607</v>
      </c>
      <c r="M15" s="132"/>
      <c r="N15" s="33" t="s">
        <v>35</v>
      </c>
      <c r="O15" s="36">
        <f>L15/L9</f>
        <v>7.8463703739153328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22</v>
      </c>
      <c r="I16" s="35">
        <f>ROUND(H16/60,1)</f>
        <v>0.4</v>
      </c>
      <c r="J16" s="99" t="s">
        <v>36</v>
      </c>
      <c r="K16" s="100"/>
      <c r="L16" s="131">
        <f>L15+'13-05-26'!L16:M16</f>
        <v>43722</v>
      </c>
      <c r="M16" s="132"/>
      <c r="N16" s="33" t="s">
        <v>37</v>
      </c>
      <c r="O16" s="36">
        <f>L16/L10</f>
        <v>6.9440165073258253</v>
      </c>
      <c r="Q16" s="64"/>
    </row>
    <row r="17" spans="1:17" ht="58.8" customHeight="1">
      <c r="A17" s="108"/>
      <c r="B17" s="127" t="s">
        <v>211</v>
      </c>
      <c r="C17" s="127"/>
      <c r="D17" s="127"/>
      <c r="E17" s="127"/>
      <c r="F17" s="127"/>
      <c r="G17" s="128"/>
      <c r="H17" s="133">
        <v>6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6</v>
      </c>
      <c r="M18" s="132"/>
      <c r="N18" s="33" t="s">
        <v>40</v>
      </c>
      <c r="O18" s="37">
        <f>L18/L9</f>
        <v>1.3051905251869143E-2</v>
      </c>
      <c r="Q18" s="64"/>
    </row>
    <row r="19" spans="1:17" ht="58.8" customHeight="1">
      <c r="A19" s="108"/>
      <c r="B19" s="127"/>
      <c r="C19" s="127"/>
      <c r="D19" s="127"/>
      <c r="E19" s="127"/>
      <c r="F19" s="127"/>
      <c r="G19" s="128"/>
      <c r="H19" s="133"/>
      <c r="I19" s="133"/>
      <c r="J19" s="99" t="s">
        <v>41</v>
      </c>
      <c r="K19" s="100"/>
      <c r="L19" s="131">
        <f>L18+'13-05-26'!L19:M19</f>
        <v>120</v>
      </c>
      <c r="M19" s="132"/>
      <c r="N19" s="33" t="s">
        <v>42</v>
      </c>
      <c r="O19" s="38">
        <f>L19/L10</f>
        <v>1.9058642808634074E-2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201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/>
      <c r="C21" s="127"/>
      <c r="D21" s="127"/>
      <c r="E21" s="127"/>
      <c r="F21" s="127"/>
      <c r="G21" s="128"/>
      <c r="H21" s="133"/>
      <c r="I21" s="202"/>
      <c r="J21" s="99" t="s">
        <v>45</v>
      </c>
      <c r="K21" s="100"/>
      <c r="L21" s="131">
        <v>298</v>
      </c>
      <c r="M21" s="132"/>
      <c r="N21" s="30" t="s">
        <v>45</v>
      </c>
      <c r="O21" s="39">
        <v>476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202"/>
      <c r="J22" s="99" t="s">
        <v>46</v>
      </c>
      <c r="K22" s="100"/>
      <c r="L22" s="131">
        <f>L21+'13-05-26'!L22:M22</f>
        <v>4510</v>
      </c>
      <c r="M22" s="132"/>
      <c r="N22" s="30" t="s">
        <v>46</v>
      </c>
      <c r="O22" s="39">
        <f>O21+'13-05-26'!O22</f>
        <v>5278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202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202"/>
      <c r="J24" s="99" t="s">
        <v>45</v>
      </c>
      <c r="K24" s="100"/>
      <c r="L24" s="131">
        <v>258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202"/>
      <c r="J25" s="99" t="s">
        <v>46</v>
      </c>
      <c r="K25" s="100"/>
      <c r="L25" s="131">
        <f>L24+'13-05-26'!L25:M25</f>
        <v>2643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202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1348</v>
      </c>
      <c r="M27" s="156"/>
      <c r="N27" s="41" t="s">
        <v>51</v>
      </c>
      <c r="O27" s="42">
        <f>L27/L9</f>
        <v>2.9323280465866008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L27+'13-05-26'!L28:M28</f>
        <v>18952</v>
      </c>
      <c r="M28" s="156"/>
      <c r="N28" s="41" t="s">
        <v>53</v>
      </c>
      <c r="O28" s="42">
        <f>L28/L10</f>
        <v>3.0099949875769414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18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L30+'13-05-26'!L31:O31</f>
        <v>360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0.5</v>
      </c>
      <c r="J33" s="99" t="s">
        <v>34</v>
      </c>
      <c r="K33" s="100"/>
      <c r="L33" s="131">
        <v>18040</v>
      </c>
      <c r="M33" s="132"/>
      <c r="N33" s="33" t="s">
        <v>58</v>
      </c>
      <c r="O33" s="43">
        <f>L33/O9</f>
        <v>39.570428343306368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L33+'13-05-26'!L34:M34</f>
        <v>258518</v>
      </c>
      <c r="M34" s="132"/>
      <c r="N34" s="33" t="s">
        <v>59</v>
      </c>
      <c r="O34" s="43">
        <f>L34/O10</f>
        <v>41.422900125365651</v>
      </c>
      <c r="Q34" s="64"/>
    </row>
    <row r="35" spans="1:17" ht="43.35" customHeight="1">
      <c r="A35" s="107" t="s">
        <v>60</v>
      </c>
      <c r="B35" s="203" t="s">
        <v>214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418</v>
      </c>
      <c r="M36" s="45">
        <f>L36+'13-05-26'!M36</f>
        <v>2669</v>
      </c>
      <c r="N36" s="65">
        <f>L36/1000/L9</f>
        <v>9.0928273254688359E-4</v>
      </c>
      <c r="O36" s="66">
        <f>M36/1000/L10</f>
        <v>4.238959804687029E-4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480</v>
      </c>
      <c r="M37" s="45">
        <f>L37+'13-05-26'!M37</f>
        <v>3010</v>
      </c>
      <c r="N37" s="65">
        <f>L37/1000/L9</f>
        <v>1.0441524201495313E-3</v>
      </c>
      <c r="O37" s="66">
        <f>M37/1000/L10</f>
        <v>4.7805429044990463E-4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386</v>
      </c>
      <c r="M38" s="46">
        <f>L38+'13-05-26'!M38</f>
        <v>3315</v>
      </c>
      <c r="N38" s="65">
        <f>L38/1000/L9</f>
        <v>8.3967257120358147E-4</v>
      </c>
      <c r="O38" s="66">
        <f>M38/1000/L10</f>
        <v>5.2649500758851627E-4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1284</v>
      </c>
      <c r="M39" s="132"/>
      <c r="N39" s="30" t="s">
        <v>66</v>
      </c>
      <c r="O39" s="47">
        <f>O9/L9</f>
        <v>0.99171856611768916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L39+'13-05-26'!L40:M40</f>
        <v>8994</v>
      </c>
      <c r="M40" s="132"/>
      <c r="N40" s="30" t="s">
        <v>29</v>
      </c>
      <c r="O40" s="47">
        <f>(O10)/(L10-L22/1000)</f>
        <v>0.99190984649020331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L42+'13-05-26'!L43:M43</f>
        <v>740</v>
      </c>
      <c r="M43" s="183"/>
      <c r="N43" s="49" t="s">
        <v>70</v>
      </c>
      <c r="O43" s="50">
        <f>L43/O10</f>
        <v>0.1185718058037374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10.5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L45+'13-05-26'!L46:M46</f>
        <v>143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'!I33-'13-05-26'!I33,1)</f>
        <v>133.80000000000001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  <c r="L53" s="64"/>
    </row>
    <row r="54" spans="1:12">
      <c r="J54" s="64"/>
      <c r="K54" s="64"/>
      <c r="L54" s="64"/>
    </row>
    <row r="55" spans="1:12">
      <c r="J55" s="64"/>
      <c r="K55" s="64"/>
      <c r="L55" s="64"/>
    </row>
    <row r="56" spans="1:12">
      <c r="E56" s="62"/>
      <c r="J56" s="64"/>
      <c r="K56" s="64"/>
      <c r="L56" s="64"/>
    </row>
    <row r="57" spans="1:12">
      <c r="J57" s="64"/>
      <c r="K57" s="64"/>
      <c r="L57" s="64"/>
    </row>
    <row r="58" spans="1:12">
      <c r="H58" s="69"/>
      <c r="J58" s="64"/>
      <c r="K58" s="64"/>
      <c r="L58" s="64"/>
    </row>
    <row r="59" spans="1:12">
      <c r="H59" s="64"/>
      <c r="I59" s="64"/>
      <c r="J59" s="64"/>
      <c r="K59" s="64"/>
      <c r="L59" s="64"/>
    </row>
    <row r="60" spans="1:12">
      <c r="H60" s="64"/>
      <c r="I60" s="64"/>
      <c r="J60" s="64"/>
      <c r="K60" s="64"/>
      <c r="L60" s="64"/>
    </row>
    <row r="61" spans="1:12">
      <c r="H61" s="64"/>
      <c r="I61" s="64"/>
      <c r="J61" s="64"/>
      <c r="K61" s="64"/>
      <c r="L61" s="64"/>
    </row>
    <row r="62" spans="1:12">
      <c r="H62" s="64"/>
      <c r="I62" s="64"/>
      <c r="J62" s="64"/>
      <c r="K62" s="64"/>
      <c r="L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4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03"/>
  <sheetViews>
    <sheetView topLeftCell="I22" zoomScale="50" zoomScaleNormal="50" workbookViewId="0">
      <selection activeCell="G13" sqref="G13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138100000528</v>
      </c>
      <c r="D5" s="18" t="s">
        <v>212</v>
      </c>
      <c r="E5" s="19">
        <v>99277</v>
      </c>
      <c r="F5" s="18">
        <v>25</v>
      </c>
      <c r="G5" s="12" t="s">
        <v>213</v>
      </c>
      <c r="H5" s="19">
        <v>98184</v>
      </c>
      <c r="I5" s="16">
        <v>25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138100000533</v>
      </c>
      <c r="D6" s="12" t="s">
        <v>216</v>
      </c>
      <c r="E6" s="19">
        <v>107158</v>
      </c>
      <c r="F6" s="12">
        <v>27</v>
      </c>
      <c r="G6" s="12" t="s">
        <v>215</v>
      </c>
      <c r="H6" s="19">
        <v>106198</v>
      </c>
      <c r="I6" s="14">
        <v>27</v>
      </c>
      <c r="J6" s="99" t="s">
        <v>16</v>
      </c>
      <c r="K6" s="100"/>
      <c r="L6" s="101">
        <v>25.076000000000001</v>
      </c>
      <c r="M6" s="102"/>
      <c r="N6" s="20" t="s">
        <v>17</v>
      </c>
      <c r="O6" s="21">
        <f>(O9-L6)/O9</f>
        <v>0.93837155005038209</v>
      </c>
      <c r="Q6" s="22"/>
    </row>
    <row r="7" spans="1:17" ht="64.349999999999994" customHeight="1">
      <c r="A7" s="108"/>
      <c r="B7" s="10">
        <v>3</v>
      </c>
      <c r="C7" s="11"/>
      <c r="D7" s="12" t="s">
        <v>181</v>
      </c>
      <c r="E7" s="19">
        <v>5589</v>
      </c>
      <c r="F7" s="12">
        <v>1</v>
      </c>
      <c r="G7" s="12" t="s">
        <v>181</v>
      </c>
      <c r="H7" s="19">
        <v>5552</v>
      </c>
      <c r="I7" s="14">
        <v>1</v>
      </c>
      <c r="J7" s="99" t="s">
        <v>18</v>
      </c>
      <c r="K7" s="100"/>
      <c r="L7" s="101">
        <f>L6+'14-05-26'!L7:M7</f>
        <v>198.43200000000002</v>
      </c>
      <c r="M7" s="102"/>
      <c r="N7" s="26" t="s">
        <v>19</v>
      </c>
      <c r="O7" s="27">
        <f>(O10-L7)/O10</f>
        <v>0.97015087921870491</v>
      </c>
    </row>
    <row r="8" spans="1:17" ht="64.349999999999994" customHeight="1">
      <c r="A8" s="108"/>
      <c r="B8" s="17">
        <v>4</v>
      </c>
      <c r="C8" s="11"/>
      <c r="D8" s="12" t="s">
        <v>225</v>
      </c>
      <c r="E8" s="15">
        <v>9183</v>
      </c>
      <c r="F8" s="12">
        <v>2</v>
      </c>
      <c r="G8" s="12" t="s">
        <v>220</v>
      </c>
      <c r="H8" s="19">
        <v>9102</v>
      </c>
      <c r="I8" s="14">
        <v>2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138100000584</v>
      </c>
      <c r="D9" s="12" t="s">
        <v>221</v>
      </c>
      <c r="E9" s="19">
        <v>6110</v>
      </c>
      <c r="F9" s="18">
        <v>1</v>
      </c>
      <c r="G9" s="12" t="s">
        <v>219</v>
      </c>
      <c r="H9" s="28">
        <v>5642</v>
      </c>
      <c r="I9" s="16">
        <v>1</v>
      </c>
      <c r="J9" s="99" t="s">
        <v>22</v>
      </c>
      <c r="K9" s="100"/>
      <c r="L9" s="101">
        <v>412.75799999999998</v>
      </c>
      <c r="M9" s="102"/>
      <c r="N9" s="30" t="s">
        <v>22</v>
      </c>
      <c r="O9" s="31">
        <v>406.89</v>
      </c>
      <c r="Q9" s="32"/>
    </row>
    <row r="10" spans="1:17" ht="64.349999999999994" customHeight="1">
      <c r="A10" s="108"/>
      <c r="B10" s="17">
        <v>6</v>
      </c>
      <c r="C10" s="11">
        <v>138100000585</v>
      </c>
      <c r="D10" s="18" t="s">
        <v>217</v>
      </c>
      <c r="E10" s="28">
        <v>185441</v>
      </c>
      <c r="F10" s="12">
        <v>33</v>
      </c>
      <c r="G10" s="12" t="s">
        <v>218</v>
      </c>
      <c r="H10" s="28">
        <v>183212</v>
      </c>
      <c r="I10" s="14">
        <v>33</v>
      </c>
      <c r="J10" s="99" t="s">
        <v>23</v>
      </c>
      <c r="K10" s="100"/>
      <c r="L10" s="101">
        <f>L9+'14-05-26'!L10:M10</f>
        <v>6709.1139999999996</v>
      </c>
      <c r="M10" s="102"/>
      <c r="N10" s="30" t="s">
        <v>23</v>
      </c>
      <c r="O10" s="70">
        <f>O9+'14-05-26'!O10</f>
        <v>6647.8339999999998</v>
      </c>
      <c r="Q10" s="64"/>
    </row>
    <row r="11" spans="1:17" ht="64.349999999999994" customHeight="1">
      <c r="A11" s="108"/>
      <c r="B11" s="10"/>
      <c r="C11" s="11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41.947422680412373</v>
      </c>
      <c r="M12" s="120"/>
      <c r="N12" s="33" t="s">
        <v>27</v>
      </c>
      <c r="O12" s="27">
        <f>(11-I33)/11</f>
        <v>0.88181818181818172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46.326369337979095</v>
      </c>
      <c r="M13" s="120"/>
      <c r="N13" s="33" t="s">
        <v>29</v>
      </c>
      <c r="O13" s="27">
        <f>O46/L46</f>
        <v>0.93181818181818177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222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3452</v>
      </c>
      <c r="M15" s="132"/>
      <c r="N15" s="33" t="s">
        <v>35</v>
      </c>
      <c r="O15" s="36">
        <f>L15/L9</f>
        <v>8.363254013247472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5</v>
      </c>
      <c r="I16" s="35">
        <f>ROUND(H16/60,1)</f>
        <v>0.1</v>
      </c>
      <c r="J16" s="99" t="s">
        <v>36</v>
      </c>
      <c r="K16" s="100"/>
      <c r="L16" s="131">
        <f>L15+'14-05-26'!L16:M16</f>
        <v>47174</v>
      </c>
      <c r="M16" s="132"/>
      <c r="N16" s="33" t="s">
        <v>37</v>
      </c>
      <c r="O16" s="36">
        <f>L16/L10</f>
        <v>7.0313308135768748</v>
      </c>
      <c r="Q16" s="64"/>
    </row>
    <row r="17" spans="1:17" ht="58.8" customHeight="1">
      <c r="A17" s="108"/>
      <c r="B17" s="127" t="s">
        <v>223</v>
      </c>
      <c r="C17" s="127"/>
      <c r="D17" s="127"/>
      <c r="E17" s="127"/>
      <c r="F17" s="127"/>
      <c r="G17" s="128"/>
      <c r="H17" s="133">
        <v>65</v>
      </c>
      <c r="I17" s="133">
        <f t="shared" ref="I17:I21" si="0">ROUND(H17/60,1)</f>
        <v>1.1000000000000001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9</v>
      </c>
      <c r="M18" s="132"/>
      <c r="N18" s="33" t="s">
        <v>40</v>
      </c>
      <c r="O18" s="37">
        <f>L18/L9</f>
        <v>2.180454406698356E-2</v>
      </c>
      <c r="Q18" s="64"/>
    </row>
    <row r="19" spans="1:17" ht="58.8" customHeight="1">
      <c r="A19" s="108"/>
      <c r="B19" s="127" t="s">
        <v>224</v>
      </c>
      <c r="C19" s="127"/>
      <c r="D19" s="127"/>
      <c r="E19" s="127"/>
      <c r="F19" s="127"/>
      <c r="G19" s="128"/>
      <c r="H19" s="133">
        <v>6</v>
      </c>
      <c r="I19" s="133">
        <f t="shared" si="0"/>
        <v>0.1</v>
      </c>
      <c r="J19" s="99" t="s">
        <v>41</v>
      </c>
      <c r="K19" s="100"/>
      <c r="L19" s="131">
        <f>L18+'14-05-26'!L19:M19</f>
        <v>129</v>
      </c>
      <c r="M19" s="132"/>
      <c r="N19" s="33" t="s">
        <v>42</v>
      </c>
      <c r="O19" s="38">
        <f>L19/L10</f>
        <v>1.9227576100212338E-2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 t="s">
        <v>227</v>
      </c>
      <c r="C21" s="127"/>
      <c r="D21" s="127"/>
      <c r="E21" s="127"/>
      <c r="F21" s="127"/>
      <c r="G21" s="128"/>
      <c r="H21" s="133">
        <v>35</v>
      </c>
      <c r="I21" s="133">
        <f t="shared" si="0"/>
        <v>0.6</v>
      </c>
      <c r="J21" s="99" t="s">
        <v>45</v>
      </c>
      <c r="K21" s="100"/>
      <c r="L21" s="131">
        <v>268</v>
      </c>
      <c r="M21" s="132"/>
      <c r="N21" s="30" t="s">
        <v>45</v>
      </c>
      <c r="O21" s="39">
        <v>342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134"/>
      <c r="J22" s="99" t="s">
        <v>46</v>
      </c>
      <c r="K22" s="100"/>
      <c r="L22" s="131">
        <f>L21+'14-05-26'!L22:M22</f>
        <v>4778</v>
      </c>
      <c r="M22" s="132"/>
      <c r="N22" s="30" t="s">
        <v>46</v>
      </c>
      <c r="O22" s="39">
        <f>O21+'14-05-26'!O22</f>
        <v>5620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202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202"/>
      <c r="J24" s="99" t="s">
        <v>45</v>
      </c>
      <c r="K24" s="100"/>
      <c r="L24" s="131">
        <v>200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202"/>
      <c r="J25" s="99" t="s">
        <v>46</v>
      </c>
      <c r="K25" s="100"/>
      <c r="L25" s="131">
        <f>L24+'14-05-26'!L25:M25</f>
        <v>2843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202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1409</v>
      </c>
      <c r="M27" s="156"/>
      <c r="N27" s="41" t="s">
        <v>51</v>
      </c>
      <c r="O27" s="42">
        <f>L27/L9</f>
        <v>3.4136225100422042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L27+'14-05-26'!L28:M28</f>
        <v>20361</v>
      </c>
      <c r="M28" s="156"/>
      <c r="N28" s="41" t="s">
        <v>53</v>
      </c>
      <c r="O28" s="42">
        <f>L28/L10</f>
        <v>3.034826953305608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27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L30+'14-05-26'!L31:O31</f>
        <v>387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ROUND(I16+I17+I19+I22+I23+I25+I27+I29+I31,1)</f>
        <v>1.3</v>
      </c>
      <c r="J33" s="99" t="s">
        <v>34</v>
      </c>
      <c r="K33" s="100"/>
      <c r="L33" s="131">
        <v>17141</v>
      </c>
      <c r="M33" s="132"/>
      <c r="N33" s="33" t="s">
        <v>58</v>
      </c>
      <c r="O33" s="43">
        <f>L33/O9</f>
        <v>42.126864754601982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L33+'14-05-26'!L34:M34</f>
        <v>275659</v>
      </c>
      <c r="M34" s="132"/>
      <c r="N34" s="33" t="s">
        <v>59</v>
      </c>
      <c r="O34" s="43">
        <f>L34/O10</f>
        <v>41.465987267431771</v>
      </c>
      <c r="Q34" s="64"/>
    </row>
    <row r="35" spans="1:17" ht="43.35" customHeight="1">
      <c r="A35" s="107" t="s">
        <v>60</v>
      </c>
      <c r="B35" s="203" t="s">
        <v>228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152</v>
      </c>
      <c r="M36" s="45">
        <f>L36+'14-05-26'!M36</f>
        <v>2821</v>
      </c>
      <c r="N36" s="65">
        <f>L36/1000/L9</f>
        <v>3.6825452202016677E-4</v>
      </c>
      <c r="O36" s="66">
        <f>M36/1000/L10</f>
        <v>4.2047280758681407E-4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486</v>
      </c>
      <c r="M37" s="45">
        <f>L37+'14-05-26'!M37</f>
        <v>3496</v>
      </c>
      <c r="N37" s="65">
        <f>L37/1000/L9</f>
        <v>1.1774453796171123E-3</v>
      </c>
      <c r="O37" s="66">
        <f>M37/1000/L10</f>
        <v>5.2108221741350655E-4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396</v>
      </c>
      <c r="M38" s="46">
        <f>L38+'14-05-26'!M38</f>
        <v>3711</v>
      </c>
      <c r="N38" s="65">
        <f>L38/1000/L9</f>
        <v>9.5939993894727669E-4</v>
      </c>
      <c r="O38" s="66">
        <f>M38/1000/L10</f>
        <v>5.5312817758052706E-4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1034</v>
      </c>
      <c r="M39" s="132"/>
      <c r="N39" s="30" t="s">
        <v>66</v>
      </c>
      <c r="O39" s="47">
        <f>O9/L9</f>
        <v>0.98578343726832673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L39+'14-05-26'!L40:M40</f>
        <v>10028</v>
      </c>
      <c r="M40" s="132"/>
      <c r="N40" s="30" t="s">
        <v>29</v>
      </c>
      <c r="O40" s="47">
        <f>(O10)/(L10-L22/1000)</f>
        <v>0.9915723197644033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 t="s">
        <v>226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60</v>
      </c>
      <c r="M42" s="132"/>
      <c r="N42" s="33" t="s">
        <v>69</v>
      </c>
      <c r="O42" s="43">
        <f>L42/O9</f>
        <v>0.14746000147460003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L42+'14-05-26'!L43:M43</f>
        <v>800</v>
      </c>
      <c r="M43" s="183"/>
      <c r="N43" s="49" t="s">
        <v>70</v>
      </c>
      <c r="O43" s="50">
        <f>L43/O10</f>
        <v>0.1203399483200092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9.6999999999999993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L45+'14-05-26'!L46:M46</f>
        <v>154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'!I33-'13-05-26'!I33-'14-05-26'!I33,1)</f>
        <v>143.5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  <c r="L53" s="64"/>
    </row>
    <row r="54" spans="1:12">
      <c r="J54" s="64"/>
      <c r="K54" s="64"/>
      <c r="L54" s="64"/>
    </row>
    <row r="55" spans="1:12">
      <c r="J55" s="64"/>
      <c r="K55" s="64"/>
      <c r="L55" s="64"/>
    </row>
    <row r="56" spans="1:12">
      <c r="E56" s="62"/>
      <c r="J56" s="64"/>
      <c r="K56" s="64"/>
      <c r="L56" s="64"/>
    </row>
    <row r="57" spans="1:12">
      <c r="J57" s="64"/>
      <c r="K57" s="64"/>
      <c r="L57" s="64"/>
    </row>
    <row r="58" spans="1:12">
      <c r="H58" s="69"/>
      <c r="J58" s="64"/>
      <c r="K58" s="64"/>
      <c r="L58" s="64"/>
    </row>
    <row r="59" spans="1:12">
      <c r="H59" s="64"/>
      <c r="I59" s="64"/>
      <c r="J59" s="64"/>
      <c r="K59" s="64"/>
      <c r="L59" s="64"/>
    </row>
    <row r="60" spans="1:12">
      <c r="H60" s="64"/>
      <c r="I60" s="64"/>
      <c r="J60" s="64"/>
      <c r="K60" s="64"/>
      <c r="L60" s="64"/>
    </row>
    <row r="61" spans="1:12">
      <c r="H61" s="64"/>
      <c r="I61" s="64"/>
      <c r="J61" s="64"/>
      <c r="K61" s="64"/>
      <c r="L61" s="64"/>
    </row>
    <row r="62" spans="1:12">
      <c r="H62" s="64"/>
      <c r="I62" s="64"/>
      <c r="J62" s="64"/>
      <c r="K62" s="64"/>
      <c r="L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4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03"/>
  <sheetViews>
    <sheetView topLeftCell="F22" zoomScale="47" zoomScaleNormal="47" workbookViewId="0">
      <selection activeCell="C10" sqref="C10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138100000585</v>
      </c>
      <c r="D5" s="18" t="s">
        <v>217</v>
      </c>
      <c r="E5" s="28">
        <v>117179</v>
      </c>
      <c r="F5" s="12">
        <v>21</v>
      </c>
      <c r="G5" s="12" t="s">
        <v>218</v>
      </c>
      <c r="H5" s="19">
        <v>116234</v>
      </c>
      <c r="I5" s="16">
        <v>21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138100000586</v>
      </c>
      <c r="D6" s="12" t="s">
        <v>217</v>
      </c>
      <c r="E6" s="19">
        <v>316955</v>
      </c>
      <c r="F6" s="12">
        <v>56</v>
      </c>
      <c r="G6" s="12" t="s">
        <v>229</v>
      </c>
      <c r="H6" s="19">
        <v>314854</v>
      </c>
      <c r="I6" s="14">
        <v>56</v>
      </c>
      <c r="J6" s="99" t="s">
        <v>16</v>
      </c>
      <c r="K6" s="100"/>
      <c r="L6" s="101">
        <v>56.02</v>
      </c>
      <c r="M6" s="102"/>
      <c r="N6" s="20" t="s">
        <v>17</v>
      </c>
      <c r="O6" s="21">
        <f>(O9-L6)/O9</f>
        <v>0.87895053005060664</v>
      </c>
      <c r="Q6" s="22"/>
    </row>
    <row r="7" spans="1:17" ht="64.349999999999994" customHeight="1">
      <c r="A7" s="108"/>
      <c r="B7" s="10">
        <v>3</v>
      </c>
      <c r="C7" s="11">
        <v>138100000587</v>
      </c>
      <c r="D7" s="12" t="s">
        <v>217</v>
      </c>
      <c r="E7" s="19">
        <v>34084</v>
      </c>
      <c r="F7" s="12">
        <v>6</v>
      </c>
      <c r="G7" s="12" t="s">
        <v>230</v>
      </c>
      <c r="H7" s="19">
        <v>31698</v>
      </c>
      <c r="I7" s="14">
        <v>6</v>
      </c>
      <c r="J7" s="99" t="s">
        <v>18</v>
      </c>
      <c r="K7" s="100"/>
      <c r="L7" s="101">
        <f>L6+'15-05-26'!L7:M7</f>
        <v>254.45200000000003</v>
      </c>
      <c r="M7" s="102"/>
      <c r="N7" s="26" t="s">
        <v>19</v>
      </c>
      <c r="O7" s="27">
        <f>(O10-L7)/O10</f>
        <v>0.96421521611336281</v>
      </c>
    </row>
    <row r="8" spans="1:17" ht="64.349999999999994" customHeight="1">
      <c r="A8" s="108"/>
      <c r="B8" s="17"/>
      <c r="C8" s="11"/>
      <c r="D8" s="12"/>
      <c r="E8" s="15"/>
      <c r="F8" s="12"/>
      <c r="G8" s="12"/>
      <c r="H8" s="19"/>
      <c r="I8" s="14"/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/>
      <c r="C9" s="11"/>
      <c r="D9" s="12"/>
      <c r="E9" s="19"/>
      <c r="F9" s="18"/>
      <c r="G9" s="12"/>
      <c r="H9" s="28"/>
      <c r="I9" s="16"/>
      <c r="J9" s="99" t="s">
        <v>22</v>
      </c>
      <c r="K9" s="100"/>
      <c r="L9" s="101">
        <v>468.21800000000002</v>
      </c>
      <c r="M9" s="102"/>
      <c r="N9" s="30" t="s">
        <v>22</v>
      </c>
      <c r="O9" s="31">
        <v>462.786</v>
      </c>
      <c r="Q9" s="32"/>
    </row>
    <row r="10" spans="1:17" ht="64.349999999999994" customHeight="1">
      <c r="A10" s="108"/>
      <c r="B10" s="17"/>
      <c r="C10" s="11"/>
      <c r="D10" s="18"/>
      <c r="E10" s="28"/>
      <c r="F10" s="12"/>
      <c r="G10" s="12"/>
      <c r="H10" s="28"/>
      <c r="I10" s="14"/>
      <c r="J10" s="99" t="s">
        <v>23</v>
      </c>
      <c r="K10" s="100"/>
      <c r="L10" s="101">
        <f>L9+'15-05-26'!L10:M10</f>
        <v>7177.3319999999994</v>
      </c>
      <c r="M10" s="102"/>
      <c r="N10" s="30" t="s">
        <v>23</v>
      </c>
      <c r="O10" s="70">
        <f>O9+'15-05-26'!O10</f>
        <v>7110.62</v>
      </c>
      <c r="Q10" s="64"/>
    </row>
    <row r="11" spans="1:17" ht="64.349999999999994" customHeight="1">
      <c r="A11" s="108"/>
      <c r="B11" s="10"/>
      <c r="C11" s="11"/>
      <c r="D11" s="25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O9/(10-I33)</f>
        <v>55.75734939759036</v>
      </c>
      <c r="M12" s="120"/>
      <c r="N12" s="33" t="s">
        <v>27</v>
      </c>
      <c r="O12" s="27">
        <f>(10-I33)/10</f>
        <v>0.83000000000000007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46.842028985507241</v>
      </c>
      <c r="M13" s="120"/>
      <c r="N13" s="33" t="s">
        <v>29</v>
      </c>
      <c r="O13" s="27">
        <f>O46/L46</f>
        <v>0.92560975609756102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231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2826</v>
      </c>
      <c r="M15" s="132"/>
      <c r="N15" s="33" t="s">
        <v>35</v>
      </c>
      <c r="O15" s="36">
        <f>L15/L9</f>
        <v>6.035650060441931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14</v>
      </c>
      <c r="I16" s="35">
        <f>ROUND(H16/60,1)</f>
        <v>0.2</v>
      </c>
      <c r="J16" s="99" t="s">
        <v>36</v>
      </c>
      <c r="K16" s="100"/>
      <c r="L16" s="131">
        <f>L15+'15-05-26'!L16:M16</f>
        <v>50000</v>
      </c>
      <c r="M16" s="132"/>
      <c r="N16" s="33" t="s">
        <v>37</v>
      </c>
      <c r="O16" s="36">
        <f>L16/L10</f>
        <v>6.9663769211177637</v>
      </c>
      <c r="Q16" s="64"/>
    </row>
    <row r="17" spans="1:17" ht="58.8" customHeight="1">
      <c r="A17" s="108"/>
      <c r="B17" s="127" t="s">
        <v>232</v>
      </c>
      <c r="C17" s="127"/>
      <c r="D17" s="127"/>
      <c r="E17" s="127"/>
      <c r="F17" s="127"/>
      <c r="G17" s="128"/>
      <c r="H17" s="133">
        <v>90</v>
      </c>
      <c r="I17" s="133">
        <f t="shared" ref="I17" si="0">ROUND(H17/60,1)</f>
        <v>1.5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9</v>
      </c>
      <c r="M18" s="132"/>
      <c r="N18" s="33" t="s">
        <v>40</v>
      </c>
      <c r="O18" s="37">
        <f>L18/L9</f>
        <v>1.9221815479114428E-2</v>
      </c>
      <c r="Q18" s="64"/>
    </row>
    <row r="19" spans="1:17" ht="58.8" customHeight="1">
      <c r="A19" s="108"/>
      <c r="B19" s="127"/>
      <c r="C19" s="127"/>
      <c r="D19" s="127"/>
      <c r="E19" s="127"/>
      <c r="F19" s="127"/>
      <c r="G19" s="128"/>
      <c r="H19" s="133"/>
      <c r="I19" s="133"/>
      <c r="J19" s="99" t="s">
        <v>41</v>
      </c>
      <c r="K19" s="100"/>
      <c r="L19" s="131">
        <f>L18+'15-05-26'!L19:M19</f>
        <v>138</v>
      </c>
      <c r="M19" s="132"/>
      <c r="N19" s="33" t="s">
        <v>42</v>
      </c>
      <c r="O19" s="38">
        <f>L19/L10</f>
        <v>1.922720030228503E-2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/>
      <c r="C21" s="127"/>
      <c r="D21" s="127"/>
      <c r="E21" s="127"/>
      <c r="F21" s="127"/>
      <c r="G21" s="128"/>
      <c r="H21" s="133"/>
      <c r="I21" s="133"/>
      <c r="J21" s="99" t="s">
        <v>45</v>
      </c>
      <c r="K21" s="100"/>
      <c r="L21" s="131">
        <v>260</v>
      </c>
      <c r="M21" s="132"/>
      <c r="N21" s="30" t="s">
        <v>45</v>
      </c>
      <c r="O21" s="39">
        <v>274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134"/>
      <c r="J22" s="99" t="s">
        <v>46</v>
      </c>
      <c r="K22" s="100"/>
      <c r="L22" s="131">
        <f>L21+'15-05-26'!L22:M22</f>
        <v>5038</v>
      </c>
      <c r="M22" s="132"/>
      <c r="N22" s="30" t="s">
        <v>46</v>
      </c>
      <c r="O22" s="39">
        <f>O21+'15-05-26'!O22</f>
        <v>5894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202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202"/>
      <c r="J24" s="99" t="s">
        <v>45</v>
      </c>
      <c r="K24" s="100"/>
      <c r="L24" s="131">
        <v>196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202"/>
      <c r="J25" s="99" t="s">
        <v>46</v>
      </c>
      <c r="K25" s="100"/>
      <c r="L25" s="131">
        <f>L24+'15-05-26'!L25:M25</f>
        <v>3039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202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1409</v>
      </c>
      <c r="M27" s="156"/>
      <c r="N27" s="41" t="s">
        <v>51</v>
      </c>
      <c r="O27" s="42">
        <f>L27/L9</f>
        <v>3.0092820011191366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L27+'15-05-26'!L28:M28</f>
        <v>21770</v>
      </c>
      <c r="M28" s="156"/>
      <c r="N28" s="41" t="s">
        <v>53</v>
      </c>
      <c r="O28" s="42">
        <f>L28/L10</f>
        <v>3.0331605114546747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27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L30+'15-05-26'!L31:O31</f>
        <v>414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ROUND(I16+I17+I19+I21+I23+I25+I27+I29+I31,1)</f>
        <v>1.7</v>
      </c>
      <c r="J33" s="99" t="s">
        <v>34</v>
      </c>
      <c r="K33" s="100"/>
      <c r="L33" s="131">
        <v>20815</v>
      </c>
      <c r="M33" s="132"/>
      <c r="N33" s="33" t="s">
        <v>58</v>
      </c>
      <c r="O33" s="43">
        <f>L33/O9</f>
        <v>44.977592234855848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L33+'14-05-26'!L34:M35</f>
        <v>279333</v>
      </c>
      <c r="M34" s="132"/>
      <c r="N34" s="33" t="s">
        <v>59</v>
      </c>
      <c r="O34" s="43">
        <f>L34/O10</f>
        <v>39.283916170460522</v>
      </c>
      <c r="Q34" s="64"/>
    </row>
    <row r="35" spans="1:17" ht="43.35" customHeight="1">
      <c r="A35" s="107" t="s">
        <v>60</v>
      </c>
      <c r="B35" s="203" t="s">
        <v>233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100</v>
      </c>
      <c r="M36" s="45">
        <f>L36+'15-05-26'!M36</f>
        <v>2921</v>
      </c>
      <c r="N36" s="65">
        <f>L36/1000/L9</f>
        <v>2.1357572754571589E-4</v>
      </c>
      <c r="O36" s="66">
        <f>M36/1000/L10</f>
        <v>4.0697573973169974E-4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172</v>
      </c>
      <c r="M37" s="45">
        <f>L37+'15-05-26'!M37</f>
        <v>3668</v>
      </c>
      <c r="N37" s="65">
        <f>L37/1000/L9</f>
        <v>3.673502513786313E-4</v>
      </c>
      <c r="O37" s="66">
        <f>M37/1000/L10</f>
        <v>5.1105341093319917E-4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264</v>
      </c>
      <c r="M38" s="46">
        <f>L38+'15-05-26'!M38</f>
        <v>3975</v>
      </c>
      <c r="N38" s="65">
        <f>L38/1000/L9</f>
        <v>5.6383992072068991E-4</v>
      </c>
      <c r="O38" s="66">
        <f>M38/1000/L10</f>
        <v>5.5382696522886222E-4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536</v>
      </c>
      <c r="M39" s="132"/>
      <c r="N39" s="30" t="s">
        <v>66</v>
      </c>
      <c r="O39" s="47">
        <f>O9/L9</f>
        <v>0.98839856647971669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L39+'15-05-26'!L40:M40</f>
        <v>10564</v>
      </c>
      <c r="M40" s="132"/>
      <c r="N40" s="30" t="s">
        <v>29</v>
      </c>
      <c r="O40" s="47">
        <f>(O10)/(L10-L22/1000)</f>
        <v>0.9914010775353046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L42+'15-05-26'!L43:M43</f>
        <v>800</v>
      </c>
      <c r="M43" s="183"/>
      <c r="N43" s="49" t="s">
        <v>70</v>
      </c>
      <c r="O43" s="50">
        <f>L43/O10</f>
        <v>0.11250777006787031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10</v>
      </c>
      <c r="M45" s="132"/>
      <c r="N45" s="30" t="s">
        <v>73</v>
      </c>
      <c r="O45" s="39">
        <f>10-I33</f>
        <v>8.3000000000000007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L45+'15-05-26'!L46:M46</f>
        <v>164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'!I33-'13-05-26'!I33-'14-05-26'!I33-'15-05-26'!I33,1)</f>
        <v>151.80000000000001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K52" s="64"/>
    </row>
    <row r="53" spans="1:12">
      <c r="J53" s="64"/>
      <c r="K53" s="64"/>
      <c r="L53" s="64"/>
    </row>
    <row r="54" spans="1:12">
      <c r="J54" s="64"/>
      <c r="K54" s="64"/>
      <c r="L54" s="64"/>
    </row>
    <row r="55" spans="1:12">
      <c r="J55" s="64"/>
      <c r="K55" s="64"/>
      <c r="L55" s="64"/>
    </row>
    <row r="56" spans="1:12">
      <c r="E56" s="62"/>
      <c r="J56" s="64"/>
      <c r="K56" s="64"/>
      <c r="L56" s="64"/>
    </row>
    <row r="57" spans="1:12">
      <c r="J57" s="64"/>
      <c r="K57" s="64"/>
      <c r="L57" s="64"/>
    </row>
    <row r="58" spans="1:12">
      <c r="H58" s="69"/>
      <c r="J58" s="64"/>
      <c r="K58" s="64"/>
      <c r="L58" s="64"/>
    </row>
    <row r="59" spans="1:12">
      <c r="H59" s="64"/>
      <c r="I59" s="64"/>
      <c r="J59" s="64"/>
      <c r="K59" s="64"/>
      <c r="L59" s="64"/>
    </row>
    <row r="60" spans="1:12">
      <c r="H60" s="64"/>
      <c r="I60" s="64"/>
      <c r="J60" s="64"/>
      <c r="K60" s="64"/>
      <c r="L60" s="64"/>
    </row>
    <row r="61" spans="1:12">
      <c r="H61" s="64"/>
      <c r="I61" s="64"/>
      <c r="J61" s="64"/>
      <c r="K61" s="64"/>
      <c r="L61" s="64"/>
    </row>
    <row r="62" spans="1:12">
      <c r="H62" s="64"/>
      <c r="I62" s="64"/>
      <c r="J62" s="64"/>
      <c r="K62" s="64"/>
      <c r="L62" s="64"/>
    </row>
    <row r="63" spans="1:12">
      <c r="H63" s="64"/>
      <c r="I63" s="64"/>
      <c r="J63" s="64"/>
      <c r="K63" s="64"/>
      <c r="L63" s="64"/>
    </row>
    <row r="64" spans="1:12">
      <c r="H64" s="64"/>
      <c r="I64" s="64"/>
      <c r="J64" s="64"/>
      <c r="K64" s="64"/>
      <c r="L64" s="64"/>
    </row>
    <row r="65" spans="8:12">
      <c r="H65" s="64"/>
      <c r="I65" s="64"/>
      <c r="J65" s="64"/>
      <c r="K65" s="64"/>
      <c r="L65" s="64"/>
    </row>
    <row r="66" spans="8:12">
      <c r="H66" s="64"/>
      <c r="I66" s="64"/>
      <c r="J66" s="64"/>
      <c r="K66" s="64"/>
      <c r="L66" s="64"/>
    </row>
    <row r="67" spans="8:12">
      <c r="H67" s="64"/>
      <c r="I67" s="64"/>
      <c r="J67" s="64"/>
      <c r="K67" s="64"/>
      <c r="L67" s="64"/>
    </row>
    <row r="68" spans="8:12">
      <c r="H68" s="64"/>
      <c r="I68" s="64"/>
      <c r="J68" s="64"/>
      <c r="K68" s="64"/>
      <c r="L68" s="64"/>
    </row>
    <row r="69" spans="8:12">
      <c r="H69" s="64"/>
      <c r="I69" s="64"/>
      <c r="J69" s="64"/>
      <c r="K69" s="64"/>
      <c r="L69" s="64"/>
    </row>
    <row r="70" spans="8:12">
      <c r="H70" s="64"/>
      <c r="I70" s="64"/>
      <c r="J70" s="64"/>
      <c r="K70" s="64"/>
      <c r="L70" s="64"/>
    </row>
    <row r="71" spans="8:12">
      <c r="H71" s="64"/>
      <c r="I71" s="64"/>
      <c r="J71" s="64"/>
      <c r="K71" s="64"/>
      <c r="L71" s="64"/>
    </row>
    <row r="72" spans="8:12">
      <c r="H72" s="64"/>
      <c r="I72" s="64"/>
      <c r="J72" s="64"/>
      <c r="K72" s="64"/>
      <c r="L72" s="64"/>
    </row>
    <row r="73" spans="8:12">
      <c r="H73" s="64"/>
      <c r="I73" s="64"/>
      <c r="J73" s="64"/>
      <c r="K73" s="64"/>
      <c r="L73" s="64"/>
    </row>
    <row r="74" spans="8:12">
      <c r="H74" s="64"/>
      <c r="I74" s="64"/>
      <c r="J74" s="64"/>
      <c r="K74" s="64"/>
      <c r="L74" s="64"/>
    </row>
    <row r="75" spans="8:12">
      <c r="H75" s="64"/>
      <c r="I75" s="64"/>
      <c r="J75" s="64"/>
      <c r="K75" s="64"/>
      <c r="L75" s="64"/>
    </row>
    <row r="76" spans="8:12">
      <c r="H76" s="64"/>
      <c r="I76" s="64"/>
      <c r="J76" s="64"/>
      <c r="K76" s="64"/>
      <c r="L76" s="64"/>
    </row>
    <row r="77" spans="8:12">
      <c r="H77" s="64"/>
      <c r="I77" s="64"/>
      <c r="K77" s="64"/>
      <c r="L77" s="64"/>
    </row>
    <row r="78" spans="8:12">
      <c r="H78" s="64"/>
      <c r="I78" s="64"/>
      <c r="K78" s="64"/>
      <c r="L78" s="64"/>
    </row>
    <row r="79" spans="8:12">
      <c r="H79" s="64"/>
      <c r="I79" s="64"/>
      <c r="K79" s="64"/>
      <c r="L79" s="64"/>
    </row>
    <row r="80" spans="8:12">
      <c r="H80" s="64"/>
      <c r="I80" s="64"/>
      <c r="K80" s="64"/>
      <c r="L80" s="64"/>
    </row>
    <row r="81" spans="8:12">
      <c r="H81" s="64"/>
      <c r="I81" s="64"/>
      <c r="K81" s="64"/>
      <c r="L81" s="64"/>
    </row>
    <row r="82" spans="8:12">
      <c r="H82" s="64"/>
      <c r="I82" s="64"/>
      <c r="K82" s="64"/>
      <c r="L82" s="64"/>
    </row>
    <row r="83" spans="8:12">
      <c r="H83" s="64"/>
      <c r="I83" s="64"/>
      <c r="K83" s="64"/>
      <c r="L83" s="64"/>
    </row>
    <row r="84" spans="8:12">
      <c r="H84" s="64"/>
      <c r="I84" s="64"/>
      <c r="K84" s="64"/>
      <c r="L84" s="64"/>
    </row>
    <row r="85" spans="8:12">
      <c r="H85" s="64"/>
      <c r="I85" s="64"/>
      <c r="K85" s="64"/>
      <c r="L85" s="64"/>
    </row>
    <row r="86" spans="8:12">
      <c r="H86" s="64"/>
      <c r="I86" s="64"/>
      <c r="K86" s="64"/>
      <c r="L86" s="64"/>
    </row>
    <row r="87" spans="8:12">
      <c r="H87" s="64"/>
      <c r="I87" s="64"/>
      <c r="K87" s="64"/>
      <c r="L87" s="64"/>
    </row>
    <row r="88" spans="8:12">
      <c r="H88" s="64"/>
      <c r="I88" s="64"/>
      <c r="K88" s="64"/>
      <c r="L88" s="64"/>
    </row>
    <row r="89" spans="8:12">
      <c r="H89" s="64"/>
      <c r="I89" s="64"/>
      <c r="K89" s="64"/>
      <c r="L89" s="64"/>
    </row>
    <row r="90" spans="8:12">
      <c r="H90" s="64"/>
      <c r="K90" s="64"/>
      <c r="L90" s="64"/>
    </row>
    <row r="91" spans="8:12">
      <c r="H91" s="64"/>
      <c r="K91" s="64"/>
      <c r="L91" s="64"/>
    </row>
    <row r="92" spans="8:12">
      <c r="H92" s="64"/>
      <c r="K92" s="64"/>
      <c r="L92" s="64"/>
    </row>
    <row r="93" spans="8:12">
      <c r="H93" s="64"/>
      <c r="K93" s="64"/>
      <c r="L93" s="64"/>
    </row>
    <row r="94" spans="8:12">
      <c r="H94" s="64"/>
      <c r="K94" s="64"/>
      <c r="L94" s="64"/>
    </row>
    <row r="95" spans="8:12">
      <c r="H95" s="64"/>
      <c r="K95" s="64"/>
      <c r="L95" s="64"/>
    </row>
    <row r="96" spans="8:12">
      <c r="H96" s="64"/>
      <c r="K96" s="64"/>
      <c r="L96" s="64"/>
    </row>
    <row r="97" spans="8:12">
      <c r="H97" s="64"/>
      <c r="K97" s="64"/>
      <c r="L97" s="64"/>
    </row>
    <row r="98" spans="8:12">
      <c r="H98" s="64"/>
      <c r="K98" s="64"/>
      <c r="L98" s="64"/>
    </row>
    <row r="99" spans="8:12">
      <c r="H99" s="64"/>
      <c r="K99" s="64"/>
      <c r="L99" s="64"/>
    </row>
    <row r="100" spans="8:12">
      <c r="H100" s="64"/>
      <c r="K100" s="64"/>
      <c r="L100" s="64"/>
    </row>
    <row r="101" spans="8:12">
      <c r="H101" s="64"/>
    </row>
    <row r="102" spans="8:12">
      <c r="H102" s="64"/>
    </row>
    <row r="103" spans="8:12">
      <c r="H103" s="64"/>
    </row>
  </sheetData>
  <mergeCells count="124"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10"/>
  <sheetViews>
    <sheetView topLeftCell="F25" zoomScale="40" zoomScaleNormal="40" workbookViewId="0">
      <selection activeCell="D8" sqref="D8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2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138100000587</v>
      </c>
      <c r="D5" s="12" t="s">
        <v>217</v>
      </c>
      <c r="E5" s="19">
        <v>34024</v>
      </c>
      <c r="F5" s="12">
        <v>6</v>
      </c>
      <c r="G5" s="12" t="s">
        <v>230</v>
      </c>
      <c r="H5" s="19">
        <v>35892</v>
      </c>
      <c r="I5" s="16">
        <v>7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138100000583</v>
      </c>
      <c r="D6" s="12" t="s">
        <v>234</v>
      </c>
      <c r="E6" s="19">
        <v>206921</v>
      </c>
      <c r="F6" s="12">
        <v>28</v>
      </c>
      <c r="G6" s="12" t="s">
        <v>235</v>
      </c>
      <c r="H6" s="19">
        <v>204750</v>
      </c>
      <c r="I6" s="14">
        <v>28</v>
      </c>
      <c r="J6" s="99" t="s">
        <v>16</v>
      </c>
      <c r="K6" s="100"/>
      <c r="L6" s="101">
        <v>7.4779999999999998</v>
      </c>
      <c r="M6" s="102"/>
      <c r="N6" s="20" t="s">
        <v>17</v>
      </c>
      <c r="O6" s="21">
        <f>(O9-L6)/O9</f>
        <v>0.98412718627950413</v>
      </c>
      <c r="Q6" s="22"/>
    </row>
    <row r="7" spans="1:17" ht="64.349999999999994" customHeight="1">
      <c r="A7" s="108"/>
      <c r="B7" s="10">
        <v>3</v>
      </c>
      <c r="C7" s="11">
        <v>138100000591</v>
      </c>
      <c r="D7" s="12" t="s">
        <v>237</v>
      </c>
      <c r="E7" s="19">
        <v>56476</v>
      </c>
      <c r="F7" s="12">
        <v>11</v>
      </c>
      <c r="G7" s="12" t="s">
        <v>236</v>
      </c>
      <c r="H7" s="19">
        <v>55966</v>
      </c>
      <c r="I7" s="14">
        <v>11</v>
      </c>
      <c r="J7" s="99" t="s">
        <v>18</v>
      </c>
      <c r="K7" s="100"/>
      <c r="L7" s="101">
        <f>L6+'16-05-26'!L7:M7</f>
        <v>261.93</v>
      </c>
      <c r="M7" s="102"/>
      <c r="N7" s="26" t="s">
        <v>19</v>
      </c>
      <c r="O7" s="27">
        <f>(O10-L7)/O10</f>
        <v>0.96545252145285909</v>
      </c>
    </row>
    <row r="8" spans="1:17" ht="64.349999999999994" customHeight="1">
      <c r="A8" s="108"/>
      <c r="B8" s="17">
        <v>4</v>
      </c>
      <c r="C8" s="11">
        <v>138100000590</v>
      </c>
      <c r="D8" s="12" t="s">
        <v>237</v>
      </c>
      <c r="E8" s="15">
        <v>31079</v>
      </c>
      <c r="F8" s="12">
        <v>6</v>
      </c>
      <c r="G8" s="12" t="s">
        <v>238</v>
      </c>
      <c r="H8" s="19">
        <v>30750</v>
      </c>
      <c r="I8" s="14">
        <v>6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138100000580</v>
      </c>
      <c r="D9" s="12" t="s">
        <v>239</v>
      </c>
      <c r="E9" s="19">
        <v>56792</v>
      </c>
      <c r="F9" s="18">
        <v>9</v>
      </c>
      <c r="G9" s="12" t="s">
        <v>209</v>
      </c>
      <c r="H9" s="28">
        <v>55798</v>
      </c>
      <c r="I9" s="16">
        <v>9</v>
      </c>
      <c r="J9" s="99" t="s">
        <v>22</v>
      </c>
      <c r="K9" s="100"/>
      <c r="L9" s="101">
        <v>475.03699999999998</v>
      </c>
      <c r="M9" s="102"/>
      <c r="N9" s="30" t="s">
        <v>22</v>
      </c>
      <c r="O9" s="31">
        <v>471.12</v>
      </c>
      <c r="Q9" s="32"/>
    </row>
    <row r="10" spans="1:17" ht="64.349999999999994" customHeight="1">
      <c r="A10" s="108"/>
      <c r="B10" s="17">
        <v>6</v>
      </c>
      <c r="C10" s="11">
        <v>138100000582</v>
      </c>
      <c r="D10" s="18" t="s">
        <v>221</v>
      </c>
      <c r="E10" s="28">
        <v>23831</v>
      </c>
      <c r="F10" s="12">
        <v>4</v>
      </c>
      <c r="G10" s="12" t="s">
        <v>219</v>
      </c>
      <c r="H10" s="28">
        <v>22636</v>
      </c>
      <c r="I10" s="14">
        <v>4</v>
      </c>
      <c r="J10" s="99" t="s">
        <v>23</v>
      </c>
      <c r="K10" s="100"/>
      <c r="L10" s="101">
        <f>L9+'16-05-26'!L10:M10</f>
        <v>7652.3689999999997</v>
      </c>
      <c r="M10" s="102"/>
      <c r="N10" s="30" t="s">
        <v>23</v>
      </c>
      <c r="O10" s="70">
        <f>O9+'16-05-26'!O10</f>
        <v>7581.74</v>
      </c>
      <c r="Q10" s="64"/>
    </row>
    <row r="11" spans="1:17" ht="64.349999999999994" customHeight="1">
      <c r="A11" s="108"/>
      <c r="B11" s="10">
        <v>7</v>
      </c>
      <c r="C11" s="11">
        <v>138100000581</v>
      </c>
      <c r="D11" s="18" t="s">
        <v>208</v>
      </c>
      <c r="E11" s="13">
        <v>65914</v>
      </c>
      <c r="F11" s="12">
        <v>10</v>
      </c>
      <c r="G11" s="25" t="s">
        <v>209</v>
      </c>
      <c r="H11" s="13">
        <v>65328</v>
      </c>
      <c r="I11" s="14">
        <v>10</v>
      </c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47.587878787878786</v>
      </c>
      <c r="M12" s="120"/>
      <c r="N12" s="33" t="s">
        <v>27</v>
      </c>
      <c r="O12" s="27">
        <f>(11-I33)/11</f>
        <v>0.9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46.887693259121832</v>
      </c>
      <c r="M13" s="120"/>
      <c r="N13" s="33" t="s">
        <v>29</v>
      </c>
      <c r="O13" s="27">
        <f>O46/L46</f>
        <v>0.92399999999999993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240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3373</v>
      </c>
      <c r="M15" s="132"/>
      <c r="N15" s="33" t="s">
        <v>35</v>
      </c>
      <c r="O15" s="36">
        <f>L15/L9</f>
        <v>7.1004995400358295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16</v>
      </c>
      <c r="I16" s="35">
        <f>ROUND(H16/60,1)</f>
        <v>0.3</v>
      </c>
      <c r="J16" s="99" t="s">
        <v>36</v>
      </c>
      <c r="K16" s="100"/>
      <c r="L16" s="131">
        <f>L15+'16-05-26'!L16:M16</f>
        <v>53373</v>
      </c>
      <c r="M16" s="132"/>
      <c r="N16" s="33" t="s">
        <v>37</v>
      </c>
      <c r="O16" s="36">
        <f>L16/L10</f>
        <v>6.9747028665240789</v>
      </c>
      <c r="Q16" s="64"/>
    </row>
    <row r="17" spans="1:17" ht="58.8" customHeight="1">
      <c r="A17" s="108"/>
      <c r="B17" s="127" t="s">
        <v>241</v>
      </c>
      <c r="C17" s="127"/>
      <c r="D17" s="127"/>
      <c r="E17" s="127"/>
      <c r="F17" s="127"/>
      <c r="G17" s="128"/>
      <c r="H17" s="133">
        <v>8</v>
      </c>
      <c r="I17" s="133">
        <f t="shared" ref="I17:I25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9</v>
      </c>
      <c r="M18" s="132"/>
      <c r="N18" s="33" t="s">
        <v>40</v>
      </c>
      <c r="O18" s="37">
        <f>L18/L9</f>
        <v>1.8945892635731532E-2</v>
      </c>
      <c r="Q18" s="64"/>
    </row>
    <row r="19" spans="1:17" ht="58.8" customHeight="1">
      <c r="A19" s="108"/>
      <c r="B19" s="127" t="s">
        <v>242</v>
      </c>
      <c r="C19" s="127"/>
      <c r="D19" s="127"/>
      <c r="E19" s="127"/>
      <c r="F19" s="127"/>
      <c r="G19" s="128"/>
      <c r="H19" s="133">
        <v>10</v>
      </c>
      <c r="I19" s="133">
        <f t="shared" si="0"/>
        <v>0.2</v>
      </c>
      <c r="J19" s="99" t="s">
        <v>41</v>
      </c>
      <c r="K19" s="100"/>
      <c r="L19" s="131">
        <f>L18+'16-05-26'!L19:M19</f>
        <v>147</v>
      </c>
      <c r="M19" s="132"/>
      <c r="N19" s="33" t="s">
        <v>42</v>
      </c>
      <c r="O19" s="38">
        <f>L19/L10</f>
        <v>1.9209737533566404E-2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 t="s">
        <v>243</v>
      </c>
      <c r="C21" s="127"/>
      <c r="D21" s="127"/>
      <c r="E21" s="127"/>
      <c r="F21" s="127"/>
      <c r="G21" s="128"/>
      <c r="H21" s="133">
        <v>10</v>
      </c>
      <c r="I21" s="133">
        <f t="shared" si="0"/>
        <v>0.2</v>
      </c>
      <c r="J21" s="99" t="s">
        <v>45</v>
      </c>
      <c r="K21" s="100"/>
      <c r="L21" s="131">
        <v>62</v>
      </c>
      <c r="M21" s="132"/>
      <c r="N21" s="30" t="s">
        <v>45</v>
      </c>
      <c r="O21" s="39">
        <v>366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134"/>
      <c r="J22" s="99" t="s">
        <v>46</v>
      </c>
      <c r="K22" s="100"/>
      <c r="L22" s="131">
        <f>L21+'16-05-26'!L22:M22</f>
        <v>5100</v>
      </c>
      <c r="M22" s="132"/>
      <c r="N22" s="30" t="s">
        <v>46</v>
      </c>
      <c r="O22" s="39">
        <f>O21+'16-05-26'!O22</f>
        <v>6260</v>
      </c>
      <c r="Q22" s="64"/>
    </row>
    <row r="23" spans="1:17" ht="58.8" customHeight="1">
      <c r="A23" s="108"/>
      <c r="B23" s="127" t="s">
        <v>244</v>
      </c>
      <c r="C23" s="127"/>
      <c r="D23" s="127"/>
      <c r="E23" s="127"/>
      <c r="F23" s="127"/>
      <c r="G23" s="128"/>
      <c r="H23" s="133">
        <v>9</v>
      </c>
      <c r="I23" s="133">
        <f t="shared" si="0"/>
        <v>0.2</v>
      </c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196</v>
      </c>
      <c r="M24" s="132"/>
      <c r="N24" s="30" t="s">
        <v>45</v>
      </c>
      <c r="O24" s="40"/>
      <c r="Q24" s="64"/>
    </row>
    <row r="25" spans="1:17" ht="58.8" customHeight="1">
      <c r="A25" s="108"/>
      <c r="B25" s="127" t="s">
        <v>245</v>
      </c>
      <c r="C25" s="127"/>
      <c r="D25" s="127"/>
      <c r="E25" s="127"/>
      <c r="F25" s="127"/>
      <c r="G25" s="128"/>
      <c r="H25" s="133">
        <v>5</v>
      </c>
      <c r="I25" s="202">
        <f t="shared" si="0"/>
        <v>0.1</v>
      </c>
      <c r="J25" s="99" t="s">
        <v>46</v>
      </c>
      <c r="K25" s="100"/>
      <c r="L25" s="131">
        <f>L24+'16-05-26'!L25:M25</f>
        <v>3235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202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1399</v>
      </c>
      <c r="M27" s="156"/>
      <c r="N27" s="41" t="s">
        <v>51</v>
      </c>
      <c r="O27" s="42">
        <f>L27/L9</f>
        <v>2.9450337552653796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L27+'16-05-26'!L28:M28</f>
        <v>23169</v>
      </c>
      <c r="M28" s="156"/>
      <c r="N28" s="41" t="s">
        <v>53</v>
      </c>
      <c r="O28" s="42">
        <f>L28/L10</f>
        <v>3.0276898565659862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27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L30+'16-05-26'!L31:O31</f>
        <v>441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ROUND(I16+I17+I19+I21+I23+I25+I27+I29+I31,1)</f>
        <v>1.1000000000000001</v>
      </c>
      <c r="J33" s="99" t="s">
        <v>34</v>
      </c>
      <c r="K33" s="100"/>
      <c r="L33" s="131">
        <v>24928</v>
      </c>
      <c r="M33" s="132"/>
      <c r="N33" s="33" t="s">
        <v>58</v>
      </c>
      <c r="O33" s="43">
        <f>L33/O9</f>
        <v>52.912209203599929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L33+'16-05-26'!L34:M35</f>
        <v>304261</v>
      </c>
      <c r="M34" s="132"/>
      <c r="N34" s="33" t="s">
        <v>59</v>
      </c>
      <c r="O34" s="43">
        <f>L34/O10</f>
        <v>40.130761540226914</v>
      </c>
      <c r="Q34" s="64"/>
    </row>
    <row r="35" spans="1:17" ht="43.35" customHeight="1">
      <c r="A35" s="107" t="s">
        <v>60</v>
      </c>
      <c r="B35" s="203" t="s">
        <v>246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378</v>
      </c>
      <c r="M36" s="45">
        <f>L36+'16-05-26'!M36</f>
        <v>3299</v>
      </c>
      <c r="N36" s="65">
        <f>L36/1000/L9</f>
        <v>7.9572749070072439E-4</v>
      </c>
      <c r="O36" s="66">
        <f>M36/1000/L10</f>
        <v>4.3110832736894942E-4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618</v>
      </c>
      <c r="M37" s="45">
        <f>L37+'16-05-26'!M37</f>
        <v>4286</v>
      </c>
      <c r="N37" s="65">
        <f>L37/1000/L9</f>
        <v>1.3009512943202319E-3</v>
      </c>
      <c r="O37" s="66">
        <f>M37/1000/L10</f>
        <v>5.6008799366575235E-4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202</v>
      </c>
      <c r="M38" s="46">
        <f>L38+'16-05-26'!M38</f>
        <v>4177</v>
      </c>
      <c r="N38" s="65">
        <f>L38/1000/L9</f>
        <v>4.2523003471308556E-4</v>
      </c>
      <c r="O38" s="66">
        <f>M38/1000/L10</f>
        <v>5.4584403862385615E-4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1198</v>
      </c>
      <c r="M39" s="132"/>
      <c r="N39" s="30" t="s">
        <v>66</v>
      </c>
      <c r="O39" s="47">
        <f>O9/L9</f>
        <v>0.99175432650509332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L39+'16-05-26'!L40:M40</f>
        <v>11762</v>
      </c>
      <c r="M40" s="132"/>
      <c r="N40" s="30" t="s">
        <v>29</v>
      </c>
      <c r="O40" s="47">
        <f>(O10)/(L10-L22/1000)</f>
        <v>0.99143105859098202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/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60</v>
      </c>
      <c r="M42" s="132"/>
      <c r="N42" s="33" t="s">
        <v>69</v>
      </c>
      <c r="O42" s="43">
        <f>L42/O9</f>
        <v>0.1273560876209883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L42+'16-05-26'!L43:M43</f>
        <v>860</v>
      </c>
      <c r="M43" s="183"/>
      <c r="N43" s="49" t="s">
        <v>70</v>
      </c>
      <c r="O43" s="50">
        <f>L43/O10</f>
        <v>0.11343042626099023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9.9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L45+'16-05-26'!L46:M46</f>
        <v>175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'!I33-'13-05-26'!I33-'14-05-26'!I33-'15-05-26'!I33-'16-05-26'!I33,1)</f>
        <v>161.69999999999999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G52" s="71"/>
      <c r="K52" s="64"/>
    </row>
    <row r="53" spans="1:12">
      <c r="G53" s="71"/>
      <c r="J53" s="64"/>
      <c r="K53" s="64"/>
      <c r="L53" s="64"/>
    </row>
    <row r="54" spans="1:12">
      <c r="G54" s="71"/>
      <c r="J54" s="64"/>
      <c r="K54" s="64"/>
      <c r="L54" s="64"/>
    </row>
    <row r="55" spans="1:12">
      <c r="G55" s="71"/>
      <c r="J55" s="64"/>
      <c r="K55" s="64"/>
      <c r="L55" s="64"/>
    </row>
    <row r="56" spans="1:12">
      <c r="E56" s="62"/>
      <c r="G56" s="71"/>
      <c r="J56" s="64"/>
      <c r="K56" s="64"/>
      <c r="L56" s="64"/>
    </row>
    <row r="57" spans="1:12">
      <c r="G57" s="71"/>
      <c r="J57" s="64"/>
      <c r="K57" s="64"/>
      <c r="L57" s="64"/>
    </row>
    <row r="58" spans="1:12">
      <c r="G58" s="71"/>
      <c r="H58" s="69"/>
      <c r="J58" s="64"/>
      <c r="K58" s="64"/>
      <c r="L58" s="64"/>
    </row>
    <row r="59" spans="1:12">
      <c r="G59" s="71"/>
      <c r="H59" s="64"/>
      <c r="I59" s="64"/>
      <c r="J59" s="64"/>
      <c r="K59" s="64"/>
      <c r="L59" s="64"/>
    </row>
    <row r="60" spans="1:12">
      <c r="G60" s="71"/>
      <c r="H60" s="64"/>
      <c r="I60" s="64"/>
      <c r="J60" s="64"/>
      <c r="K60" s="64"/>
      <c r="L60" s="64"/>
    </row>
    <row r="61" spans="1:12">
      <c r="G61" s="71"/>
      <c r="H61" s="64"/>
      <c r="I61" s="64"/>
      <c r="J61" s="64"/>
      <c r="K61" s="64"/>
      <c r="L61" s="64"/>
    </row>
    <row r="62" spans="1:12">
      <c r="G62" s="71"/>
      <c r="H62" s="64"/>
      <c r="I62" s="64"/>
      <c r="J62" s="64"/>
      <c r="K62" s="64"/>
      <c r="L62" s="64"/>
    </row>
    <row r="63" spans="1:12">
      <c r="G63" s="71"/>
      <c r="H63" s="64"/>
      <c r="I63" s="64"/>
      <c r="J63" s="64"/>
      <c r="K63" s="64"/>
      <c r="L63" s="64"/>
    </row>
    <row r="64" spans="1:12">
      <c r="G64" s="71"/>
      <c r="H64" s="64"/>
      <c r="I64" s="64"/>
      <c r="J64" s="64"/>
      <c r="K64" s="64"/>
      <c r="L64" s="64"/>
    </row>
    <row r="65" spans="7:12">
      <c r="G65" s="71"/>
      <c r="H65" s="64"/>
      <c r="I65" s="64"/>
      <c r="J65" s="64"/>
      <c r="K65" s="64"/>
      <c r="L65" s="64"/>
    </row>
    <row r="66" spans="7:12">
      <c r="G66" s="71"/>
      <c r="H66" s="64"/>
      <c r="I66" s="64"/>
      <c r="J66" s="64"/>
      <c r="K66" s="64"/>
      <c r="L66" s="64"/>
    </row>
    <row r="67" spans="7:12">
      <c r="G67" s="71"/>
      <c r="H67" s="64"/>
      <c r="I67" s="64"/>
      <c r="J67" s="64"/>
      <c r="K67" s="64"/>
      <c r="L67" s="64"/>
    </row>
    <row r="68" spans="7:12">
      <c r="G68" s="71"/>
      <c r="H68" s="64"/>
      <c r="I68" s="64"/>
      <c r="J68" s="64"/>
      <c r="K68" s="64"/>
      <c r="L68" s="64"/>
    </row>
    <row r="69" spans="7:12">
      <c r="G69" s="71"/>
      <c r="H69" s="64"/>
      <c r="I69" s="64"/>
      <c r="J69" s="64"/>
      <c r="K69" s="64"/>
      <c r="L69" s="64"/>
    </row>
    <row r="70" spans="7:12">
      <c r="G70" s="71"/>
      <c r="H70" s="64"/>
      <c r="I70" s="64"/>
      <c r="J70" s="64"/>
      <c r="K70" s="64"/>
      <c r="L70" s="64"/>
    </row>
    <row r="71" spans="7:12">
      <c r="G71" s="71"/>
      <c r="H71" s="64"/>
      <c r="I71" s="64"/>
      <c r="J71" s="64"/>
      <c r="K71" s="64"/>
      <c r="L71" s="64"/>
    </row>
    <row r="72" spans="7:12">
      <c r="G72" s="71"/>
      <c r="H72" s="64"/>
      <c r="I72" s="64"/>
      <c r="J72" s="64"/>
      <c r="K72" s="64"/>
      <c r="L72" s="64"/>
    </row>
    <row r="73" spans="7:12">
      <c r="G73" s="71"/>
      <c r="H73" s="64"/>
      <c r="I73" s="64"/>
      <c r="J73" s="64"/>
      <c r="K73" s="64"/>
      <c r="L73" s="64"/>
    </row>
    <row r="74" spans="7:12">
      <c r="G74" s="71"/>
      <c r="H74" s="64"/>
      <c r="I74" s="64"/>
      <c r="J74" s="64"/>
      <c r="K74" s="64"/>
      <c r="L74" s="64"/>
    </row>
    <row r="75" spans="7:12">
      <c r="G75" s="71"/>
      <c r="H75" s="64"/>
      <c r="I75" s="64"/>
      <c r="J75" s="64"/>
      <c r="K75" s="64"/>
      <c r="L75" s="64"/>
    </row>
    <row r="76" spans="7:12">
      <c r="G76" s="71"/>
      <c r="H76" s="64"/>
      <c r="I76" s="64"/>
      <c r="J76" s="64"/>
      <c r="K76" s="64"/>
      <c r="L76" s="64"/>
    </row>
    <row r="77" spans="7:12">
      <c r="G77" s="71"/>
      <c r="H77" s="64"/>
      <c r="I77" s="64"/>
      <c r="K77" s="64"/>
      <c r="L77" s="64"/>
    </row>
    <row r="78" spans="7:12">
      <c r="G78" s="71"/>
      <c r="H78" s="64"/>
      <c r="I78" s="64"/>
      <c r="K78" s="64"/>
      <c r="L78" s="64"/>
    </row>
    <row r="79" spans="7:12">
      <c r="G79" s="71"/>
      <c r="H79" s="64"/>
      <c r="I79" s="64"/>
      <c r="K79" s="64"/>
      <c r="L79" s="64"/>
    </row>
    <row r="80" spans="7:12">
      <c r="G80" s="71"/>
      <c r="H80" s="64"/>
      <c r="I80" s="64"/>
      <c r="K80" s="64"/>
      <c r="L80" s="64"/>
    </row>
    <row r="81" spans="7:12">
      <c r="G81" s="71"/>
      <c r="H81" s="64"/>
      <c r="I81" s="64"/>
      <c r="K81" s="64"/>
      <c r="L81" s="64"/>
    </row>
    <row r="82" spans="7:12">
      <c r="G82" s="71"/>
      <c r="H82" s="64"/>
      <c r="I82" s="64"/>
      <c r="K82" s="64"/>
      <c r="L82" s="64"/>
    </row>
    <row r="83" spans="7:12">
      <c r="G83" s="71"/>
      <c r="H83" s="64"/>
      <c r="I83" s="64"/>
      <c r="K83" s="64"/>
      <c r="L83" s="64"/>
    </row>
    <row r="84" spans="7:12">
      <c r="G84" s="71"/>
      <c r="H84" s="64"/>
      <c r="I84" s="64"/>
      <c r="K84" s="64"/>
      <c r="L84" s="64"/>
    </row>
    <row r="85" spans="7:12">
      <c r="G85" s="71"/>
      <c r="H85" s="64"/>
      <c r="I85" s="64"/>
      <c r="K85" s="64"/>
      <c r="L85" s="64"/>
    </row>
    <row r="86" spans="7:12">
      <c r="G86" s="71"/>
      <c r="H86" s="64"/>
      <c r="I86" s="64"/>
      <c r="K86" s="64"/>
      <c r="L86" s="64"/>
    </row>
    <row r="87" spans="7:12">
      <c r="G87" s="71"/>
      <c r="H87" s="64"/>
      <c r="I87" s="64"/>
      <c r="K87" s="64"/>
      <c r="L87" s="64"/>
    </row>
    <row r="88" spans="7:12">
      <c r="G88" s="71"/>
      <c r="H88" s="64"/>
      <c r="I88" s="64"/>
      <c r="K88" s="64"/>
      <c r="L88" s="64"/>
    </row>
    <row r="89" spans="7:12">
      <c r="G89" s="71"/>
      <c r="H89" s="64"/>
      <c r="I89" s="64"/>
      <c r="K89" s="64"/>
      <c r="L89" s="64"/>
    </row>
    <row r="90" spans="7:12">
      <c r="G90" s="71"/>
      <c r="H90" s="64"/>
      <c r="K90" s="64"/>
      <c r="L90" s="64"/>
    </row>
    <row r="91" spans="7:12">
      <c r="G91" s="71"/>
      <c r="H91" s="64"/>
      <c r="K91" s="64"/>
      <c r="L91" s="64"/>
    </row>
    <row r="92" spans="7:12">
      <c r="G92" s="71"/>
      <c r="H92" s="64"/>
      <c r="K92" s="64"/>
      <c r="L92" s="64"/>
    </row>
    <row r="93" spans="7:12">
      <c r="G93" s="71"/>
      <c r="H93" s="64"/>
      <c r="K93" s="64"/>
      <c r="L93" s="64"/>
    </row>
    <row r="94" spans="7:12">
      <c r="G94" s="71"/>
      <c r="H94" s="64"/>
      <c r="K94" s="64"/>
      <c r="L94" s="64"/>
    </row>
    <row r="95" spans="7:12">
      <c r="G95" s="71"/>
      <c r="H95" s="64"/>
      <c r="K95" s="64"/>
      <c r="L95" s="64"/>
    </row>
    <row r="96" spans="7:12">
      <c r="G96" s="71"/>
      <c r="H96" s="64"/>
      <c r="K96" s="64"/>
      <c r="L96" s="64"/>
    </row>
    <row r="97" spans="7:12">
      <c r="G97" s="71"/>
      <c r="H97" s="64"/>
      <c r="K97" s="64"/>
      <c r="L97" s="64"/>
    </row>
    <row r="98" spans="7:12">
      <c r="G98" s="71"/>
      <c r="H98" s="64"/>
      <c r="K98" s="64"/>
      <c r="L98" s="64"/>
    </row>
    <row r="99" spans="7:12">
      <c r="G99" s="71"/>
      <c r="H99" s="64"/>
      <c r="K99" s="64"/>
      <c r="L99" s="64"/>
    </row>
    <row r="100" spans="7:12">
      <c r="G100" s="71"/>
      <c r="H100" s="64"/>
      <c r="K100" s="64"/>
      <c r="L100" s="64"/>
    </row>
    <row r="101" spans="7:12">
      <c r="G101" s="71"/>
      <c r="H101" s="64"/>
    </row>
    <row r="102" spans="7:12">
      <c r="G102" s="71"/>
      <c r="H102" s="64"/>
    </row>
    <row r="103" spans="7:12">
      <c r="G103" s="71"/>
      <c r="H103" s="64"/>
    </row>
    <row r="104" spans="7:12">
      <c r="G104" s="71"/>
    </row>
    <row r="105" spans="7:12">
      <c r="G105" s="71"/>
    </row>
    <row r="106" spans="7:12">
      <c r="G106" s="71"/>
    </row>
    <row r="107" spans="7:12">
      <c r="G107" s="71"/>
    </row>
    <row r="108" spans="7:12">
      <c r="G108" s="71"/>
    </row>
    <row r="109" spans="7:12">
      <c r="G109" s="71"/>
    </row>
    <row r="110" spans="7:12">
      <c r="G110" s="71"/>
    </row>
  </sheetData>
  <mergeCells count="124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10"/>
  <sheetViews>
    <sheetView topLeftCell="I19" zoomScale="48" zoomScaleNormal="48" workbookViewId="0">
      <selection activeCell="G12" sqref="G12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0.5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138100000581</v>
      </c>
      <c r="D5" s="18" t="s">
        <v>208</v>
      </c>
      <c r="E5" s="13">
        <v>45502</v>
      </c>
      <c r="F5" s="12">
        <v>7</v>
      </c>
      <c r="G5" s="25" t="s">
        <v>209</v>
      </c>
      <c r="H5" s="19">
        <v>45106</v>
      </c>
      <c r="I5" s="16">
        <v>14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 t="s">
        <v>247</v>
      </c>
      <c r="D6" s="12" t="s">
        <v>225</v>
      </c>
      <c r="E6" s="19">
        <v>9102</v>
      </c>
      <c r="F6" s="12">
        <v>2</v>
      </c>
      <c r="G6" s="12" t="s">
        <v>225</v>
      </c>
      <c r="H6" s="19">
        <v>8446</v>
      </c>
      <c r="I6" s="14">
        <v>2</v>
      </c>
      <c r="J6" s="99" t="s">
        <v>16</v>
      </c>
      <c r="K6" s="100"/>
      <c r="L6" s="101">
        <v>37.536000000000001</v>
      </c>
      <c r="M6" s="102"/>
      <c r="N6" s="20" t="s">
        <v>17</v>
      </c>
      <c r="O6" s="21">
        <f>(O9-L6)/O9</f>
        <v>0.91058940107094533</v>
      </c>
      <c r="Q6" s="22"/>
    </row>
    <row r="7" spans="1:17" ht="64.349999999999994" customHeight="1">
      <c r="A7" s="108"/>
      <c r="B7" s="10">
        <v>3</v>
      </c>
      <c r="C7" s="11">
        <v>138100000595</v>
      </c>
      <c r="D7" s="12" t="s">
        <v>248</v>
      </c>
      <c r="E7" s="19">
        <v>177663</v>
      </c>
      <c r="F7" s="12">
        <v>32</v>
      </c>
      <c r="G7" s="12" t="s">
        <v>249</v>
      </c>
      <c r="H7" s="19">
        <v>176188</v>
      </c>
      <c r="I7" s="14">
        <v>32</v>
      </c>
      <c r="J7" s="99" t="s">
        <v>18</v>
      </c>
      <c r="K7" s="100"/>
      <c r="L7" s="101">
        <f>L6+'17-05-26'!L7:M7</f>
        <v>299.46600000000001</v>
      </c>
      <c r="M7" s="102"/>
      <c r="N7" s="26" t="s">
        <v>19</v>
      </c>
      <c r="O7" s="27">
        <f>(O10-L7)/O10</f>
        <v>0.9625740293512911</v>
      </c>
    </row>
    <row r="8" spans="1:17" ht="64.349999999999994" customHeight="1">
      <c r="A8" s="108"/>
      <c r="B8" s="17">
        <v>4</v>
      </c>
      <c r="C8" s="11">
        <v>13810000611</v>
      </c>
      <c r="D8" s="12" t="s">
        <v>252</v>
      </c>
      <c r="E8" s="15">
        <v>15082</v>
      </c>
      <c r="F8" s="12">
        <v>3</v>
      </c>
      <c r="G8" s="12" t="s">
        <v>251</v>
      </c>
      <c r="H8" s="19">
        <v>14852</v>
      </c>
      <c r="I8" s="14">
        <v>3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138100000612</v>
      </c>
      <c r="D9" s="12" t="s">
        <v>254</v>
      </c>
      <c r="E9" s="19">
        <v>14882</v>
      </c>
      <c r="F9" s="18">
        <v>3</v>
      </c>
      <c r="G9" s="12" t="s">
        <v>253</v>
      </c>
      <c r="H9" s="28">
        <v>14686</v>
      </c>
      <c r="I9" s="16">
        <v>3</v>
      </c>
      <c r="J9" s="99" t="s">
        <v>22</v>
      </c>
      <c r="K9" s="100"/>
      <c r="L9" s="101">
        <v>424.16899999999998</v>
      </c>
      <c r="M9" s="102"/>
      <c r="N9" s="30" t="s">
        <v>22</v>
      </c>
      <c r="O9" s="31">
        <v>419.81599999999997</v>
      </c>
      <c r="Q9" s="32"/>
    </row>
    <row r="10" spans="1:17" ht="64.349999999999994" customHeight="1">
      <c r="A10" s="108"/>
      <c r="B10" s="17">
        <v>6</v>
      </c>
      <c r="C10" s="11">
        <v>138100000596</v>
      </c>
      <c r="D10" s="18" t="s">
        <v>252</v>
      </c>
      <c r="E10" s="28">
        <v>161938</v>
      </c>
      <c r="F10" s="12">
        <v>32</v>
      </c>
      <c r="G10" s="18" t="s">
        <v>250</v>
      </c>
      <c r="H10" s="28">
        <v>160538</v>
      </c>
      <c r="I10" s="14">
        <v>32</v>
      </c>
      <c r="J10" s="99" t="s">
        <v>23</v>
      </c>
      <c r="K10" s="100"/>
      <c r="L10" s="101">
        <f>L9+'17-05-26'!L10:M10</f>
        <v>8076.5379999999996</v>
      </c>
      <c r="M10" s="102"/>
      <c r="N10" s="30" t="s">
        <v>23</v>
      </c>
      <c r="O10" s="70">
        <f>O9+'17-05-26'!O10</f>
        <v>8001.5559999999996</v>
      </c>
      <c r="Q10" s="64"/>
    </row>
    <row r="11" spans="1:17" ht="64.349999999999994" customHeight="1">
      <c r="A11" s="108"/>
      <c r="B11" s="10"/>
      <c r="C11" s="11"/>
      <c r="D11" s="18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39.605283018867922</v>
      </c>
      <c r="M12" s="120"/>
      <c r="N12" s="33" t="s">
        <v>27</v>
      </c>
      <c r="O12" s="27">
        <f>(11-I33)/11</f>
        <v>0.96363636363636362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46.43967498549042</v>
      </c>
      <c r="M13" s="120"/>
      <c r="N13" s="33" t="s">
        <v>29</v>
      </c>
      <c r="O13" s="27">
        <f>O46/L46</f>
        <v>0.92634408602150542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255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3284</v>
      </c>
      <c r="M15" s="132"/>
      <c r="N15" s="33" t="s">
        <v>35</v>
      </c>
      <c r="O15" s="36">
        <f>L15/L9</f>
        <v>7.742197095968824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16</v>
      </c>
      <c r="I16" s="35">
        <f>ROUND(H16/60,1)</f>
        <v>0.3</v>
      </c>
      <c r="J16" s="99" t="s">
        <v>36</v>
      </c>
      <c r="K16" s="100"/>
      <c r="L16" s="131">
        <f>L15+'17-05-26'!L16:M16</f>
        <v>56657</v>
      </c>
      <c r="M16" s="132"/>
      <c r="N16" s="33" t="s">
        <v>37</v>
      </c>
      <c r="O16" s="36">
        <f>L16/L10</f>
        <v>7.0150106394596303</v>
      </c>
      <c r="Q16" s="64"/>
    </row>
    <row r="17" spans="1:17" ht="58.8" customHeight="1">
      <c r="A17" s="108"/>
      <c r="B17" s="127" t="s">
        <v>256</v>
      </c>
      <c r="C17" s="127"/>
      <c r="D17" s="127"/>
      <c r="E17" s="127"/>
      <c r="F17" s="127"/>
      <c r="G17" s="128"/>
      <c r="H17" s="133">
        <v>5</v>
      </c>
      <c r="I17" s="133">
        <f t="shared" ref="I17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9</v>
      </c>
      <c r="M18" s="132"/>
      <c r="N18" s="33" t="s">
        <v>40</v>
      </c>
      <c r="O18" s="37">
        <f>L18/L9</f>
        <v>2.1217957936577166E-2</v>
      </c>
      <c r="Q18" s="64"/>
    </row>
    <row r="19" spans="1:17" ht="58.8" customHeight="1">
      <c r="A19" s="108"/>
      <c r="B19" s="127"/>
      <c r="C19" s="127"/>
      <c r="D19" s="127"/>
      <c r="E19" s="127"/>
      <c r="F19" s="127"/>
      <c r="G19" s="128"/>
      <c r="H19" s="133"/>
      <c r="I19" s="133"/>
      <c r="J19" s="99" t="s">
        <v>41</v>
      </c>
      <c r="K19" s="100"/>
      <c r="L19" s="131">
        <f>L18+'17-05-26'!L19:M19</f>
        <v>156</v>
      </c>
      <c r="M19" s="132"/>
      <c r="N19" s="33" t="s">
        <v>42</v>
      </c>
      <c r="O19" s="38">
        <f>L19/L10</f>
        <v>1.9315206589754174E-2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/>
      <c r="C21" s="127"/>
      <c r="D21" s="127"/>
      <c r="E21" s="127"/>
      <c r="F21" s="127"/>
      <c r="G21" s="128"/>
      <c r="H21" s="133"/>
      <c r="I21" s="133"/>
      <c r="J21" s="99" t="s">
        <v>45</v>
      </c>
      <c r="K21" s="100"/>
      <c r="L21" s="131">
        <v>252</v>
      </c>
      <c r="M21" s="132"/>
      <c r="N21" s="30" t="s">
        <v>45</v>
      </c>
      <c r="O21" s="39">
        <v>288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134"/>
      <c r="J22" s="99" t="s">
        <v>46</v>
      </c>
      <c r="K22" s="100"/>
      <c r="L22" s="131">
        <f>L21+'17-05-26'!L22:M22</f>
        <v>5352</v>
      </c>
      <c r="M22" s="132"/>
      <c r="N22" s="30" t="s">
        <v>46</v>
      </c>
      <c r="O22" s="39">
        <f>O21+'17-05-26'!O22</f>
        <v>6548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168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202"/>
      <c r="J25" s="99" t="s">
        <v>46</v>
      </c>
      <c r="K25" s="100"/>
      <c r="L25" s="131">
        <f>L24+'17-05-26'!L25:M25</f>
        <v>3403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202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1381</v>
      </c>
      <c r="M27" s="156"/>
      <c r="N27" s="41" t="s">
        <v>51</v>
      </c>
      <c r="O27" s="42">
        <f>L27/L9</f>
        <v>3.2557777678236741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L27+'17-05-26'!L28:M28</f>
        <v>24550</v>
      </c>
      <c r="M28" s="156"/>
      <c r="N28" s="41" t="s">
        <v>53</v>
      </c>
      <c r="O28" s="42">
        <f>L28/L10</f>
        <v>3.0396687293491347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27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L30+'17-05-26'!L31:O31</f>
        <v>468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ROUND(I16+I17+I19+I21+I23+I25+I27+I29+I31,1)</f>
        <v>0.4</v>
      </c>
      <c r="J33" s="99" t="s">
        <v>34</v>
      </c>
      <c r="K33" s="100"/>
      <c r="L33" s="155">
        <v>19871</v>
      </c>
      <c r="M33" s="156"/>
      <c r="N33" s="33" t="s">
        <v>58</v>
      </c>
      <c r="O33" s="43">
        <f>L33/O9</f>
        <v>47.332640966518667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L33+'17-05-26'!L34:M35</f>
        <v>324132</v>
      </c>
      <c r="M34" s="132"/>
      <c r="N34" s="33" t="s">
        <v>59</v>
      </c>
      <c r="O34" s="43">
        <f>L34/O10</f>
        <v>40.508621073201262</v>
      </c>
      <c r="Q34" s="64"/>
    </row>
    <row r="35" spans="1:17" ht="43.35" customHeight="1">
      <c r="A35" s="107" t="s">
        <v>60</v>
      </c>
      <c r="B35" s="203" t="s">
        <v>258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165</v>
      </c>
      <c r="M36" s="45">
        <f>L36+'17-05-26'!M36</f>
        <v>3464</v>
      </c>
      <c r="N36" s="65">
        <f>L36/1000/L9</f>
        <v>3.8899589550391473E-4</v>
      </c>
      <c r="O36" s="66">
        <f>M36/1000/L10</f>
        <v>4.2889663863402859E-4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508</v>
      </c>
      <c r="M37" s="45">
        <f>L37+'17-05-26'!M37</f>
        <v>4794</v>
      </c>
      <c r="N37" s="65">
        <f>L37/1000/L9</f>
        <v>1.1976358479756891E-3</v>
      </c>
      <c r="O37" s="66">
        <f>M37/1000/L10</f>
        <v>5.9357115635436867E-4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586</v>
      </c>
      <c r="M38" s="46">
        <f>L38+'17-05-26'!M38</f>
        <v>4763</v>
      </c>
      <c r="N38" s="65">
        <f>L38/1000/L9</f>
        <v>1.3815248167593577E-3</v>
      </c>
      <c r="O38" s="66">
        <f>M38/1000/L10</f>
        <v>5.897328781217893E-4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1259</v>
      </c>
      <c r="M39" s="132"/>
      <c r="N39" s="30" t="s">
        <v>66</v>
      </c>
      <c r="O39" s="47">
        <f>O9/L9</f>
        <v>0.98973758101134213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L39+'17-05-26'!L40:M40</f>
        <v>13021</v>
      </c>
      <c r="M40" s="132"/>
      <c r="N40" s="30" t="s">
        <v>29</v>
      </c>
      <c r="O40" s="47">
        <f>(O10)/(L10-L22/1000)</f>
        <v>0.99137301506866526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 t="s">
        <v>257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L42+'17-05-26'!L43:M43</f>
        <v>860</v>
      </c>
      <c r="M43" s="183"/>
      <c r="N43" s="49" t="s">
        <v>70</v>
      </c>
      <c r="O43" s="50">
        <f>L43/O10</f>
        <v>0.10747909531596105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10.6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L45+'17-05-26'!L46:M46</f>
        <v>186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'!I33-'13-05-26'!I33-'14-05-26'!I33-'15-05-26'!I33-'16-05-26'!I33-'17-05-26'!I33,1)</f>
        <v>172.3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G52" s="71"/>
      <c r="K52" s="64"/>
    </row>
    <row r="53" spans="1:12">
      <c r="G53" s="71"/>
      <c r="J53" s="64"/>
      <c r="K53" s="64"/>
      <c r="L53" s="64"/>
    </row>
    <row r="54" spans="1:12">
      <c r="G54" s="71"/>
      <c r="J54" s="64"/>
      <c r="K54" s="64"/>
      <c r="L54" s="64"/>
    </row>
    <row r="55" spans="1:12">
      <c r="G55" s="71"/>
      <c r="J55" s="64"/>
      <c r="K55" s="64"/>
      <c r="L55" s="64"/>
    </row>
    <row r="56" spans="1:12">
      <c r="E56" s="62"/>
      <c r="G56" s="71"/>
      <c r="J56" s="64"/>
      <c r="K56" s="64"/>
      <c r="L56" s="64"/>
    </row>
    <row r="57" spans="1:12">
      <c r="G57" s="71"/>
      <c r="J57" s="64"/>
      <c r="K57" s="64"/>
      <c r="L57" s="64"/>
    </row>
    <row r="58" spans="1:12">
      <c r="G58" s="71"/>
      <c r="H58" s="69"/>
      <c r="J58" s="64"/>
      <c r="K58" s="64"/>
      <c r="L58" s="64"/>
    </row>
    <row r="59" spans="1:12">
      <c r="G59" s="71"/>
      <c r="H59" s="64"/>
      <c r="I59" s="64"/>
      <c r="J59" s="64"/>
      <c r="K59" s="64"/>
      <c r="L59" s="64"/>
    </row>
    <row r="60" spans="1:12">
      <c r="G60" s="71"/>
      <c r="H60" s="64"/>
      <c r="I60" s="64"/>
      <c r="J60" s="64"/>
      <c r="K60" s="64"/>
      <c r="L60" s="64"/>
    </row>
    <row r="61" spans="1:12">
      <c r="G61" s="71"/>
      <c r="H61" s="64"/>
      <c r="I61" s="64"/>
      <c r="J61" s="64"/>
      <c r="K61" s="64"/>
      <c r="L61" s="64"/>
    </row>
    <row r="62" spans="1:12">
      <c r="G62" s="71"/>
      <c r="H62" s="64"/>
      <c r="I62" s="64"/>
      <c r="J62" s="64"/>
      <c r="K62" s="64"/>
      <c r="L62" s="64"/>
    </row>
    <row r="63" spans="1:12">
      <c r="G63" s="71"/>
      <c r="H63" s="64"/>
      <c r="I63" s="64"/>
      <c r="J63" s="64"/>
      <c r="K63" s="64"/>
      <c r="L63" s="64"/>
    </row>
    <row r="64" spans="1:12">
      <c r="G64" s="71"/>
      <c r="H64" s="64"/>
      <c r="I64" s="64"/>
      <c r="J64" s="64"/>
      <c r="K64" s="64"/>
      <c r="L64" s="64"/>
    </row>
    <row r="65" spans="7:12">
      <c r="G65" s="71"/>
      <c r="H65" s="64"/>
      <c r="I65" s="64"/>
      <c r="J65" s="64"/>
      <c r="K65" s="64"/>
      <c r="L65" s="64"/>
    </row>
    <row r="66" spans="7:12">
      <c r="G66" s="71"/>
      <c r="H66" s="64"/>
      <c r="I66" s="64"/>
      <c r="J66" s="64"/>
      <c r="K66" s="64"/>
      <c r="L66" s="64"/>
    </row>
    <row r="67" spans="7:12">
      <c r="G67" s="71"/>
      <c r="H67" s="64"/>
      <c r="I67" s="64"/>
      <c r="J67" s="64"/>
      <c r="K67" s="64"/>
      <c r="L67" s="64"/>
    </row>
    <row r="68" spans="7:12">
      <c r="G68" s="71"/>
      <c r="H68" s="64"/>
      <c r="I68" s="64"/>
      <c r="J68" s="64"/>
      <c r="K68" s="64"/>
      <c r="L68" s="64"/>
    </row>
    <row r="69" spans="7:12">
      <c r="G69" s="71"/>
      <c r="H69" s="64"/>
      <c r="I69" s="64"/>
      <c r="J69" s="64"/>
      <c r="K69" s="64"/>
      <c r="L69" s="64"/>
    </row>
    <row r="70" spans="7:12">
      <c r="G70" s="71"/>
      <c r="H70" s="64"/>
      <c r="I70" s="64"/>
      <c r="J70" s="64"/>
      <c r="K70" s="64"/>
      <c r="L70" s="64"/>
    </row>
    <row r="71" spans="7:12">
      <c r="G71" s="71"/>
      <c r="H71" s="64"/>
      <c r="I71" s="64"/>
      <c r="J71" s="64"/>
      <c r="K71" s="64"/>
      <c r="L71" s="64"/>
    </row>
    <row r="72" spans="7:12">
      <c r="G72" s="71"/>
      <c r="H72" s="64"/>
      <c r="I72" s="64"/>
      <c r="J72" s="64"/>
      <c r="K72" s="64"/>
      <c r="L72" s="64"/>
    </row>
    <row r="73" spans="7:12">
      <c r="G73" s="71"/>
      <c r="H73" s="64"/>
      <c r="I73" s="64"/>
      <c r="J73" s="64"/>
      <c r="K73" s="64"/>
      <c r="L73" s="64"/>
    </row>
    <row r="74" spans="7:12">
      <c r="G74" s="71"/>
      <c r="H74" s="64"/>
      <c r="I74" s="64"/>
      <c r="J74" s="64"/>
      <c r="K74" s="64"/>
      <c r="L74" s="64"/>
    </row>
    <row r="75" spans="7:12">
      <c r="G75" s="71"/>
      <c r="H75" s="64"/>
      <c r="I75" s="64"/>
      <c r="J75" s="64"/>
      <c r="K75" s="64"/>
      <c r="L75" s="64"/>
    </row>
    <row r="76" spans="7:12">
      <c r="G76" s="71"/>
      <c r="H76" s="64"/>
      <c r="I76" s="64"/>
      <c r="J76" s="64"/>
      <c r="K76" s="64"/>
      <c r="L76" s="64"/>
    </row>
    <row r="77" spans="7:12">
      <c r="G77" s="71"/>
      <c r="H77" s="64"/>
      <c r="I77" s="64"/>
      <c r="K77" s="64"/>
      <c r="L77" s="64"/>
    </row>
    <row r="78" spans="7:12">
      <c r="G78" s="71"/>
      <c r="H78" s="64"/>
      <c r="I78" s="64"/>
      <c r="K78" s="64"/>
      <c r="L78" s="64"/>
    </row>
    <row r="79" spans="7:12">
      <c r="G79" s="71"/>
      <c r="H79" s="64"/>
      <c r="I79" s="64"/>
      <c r="K79" s="64"/>
      <c r="L79" s="64"/>
    </row>
    <row r="80" spans="7:12">
      <c r="G80" s="71"/>
      <c r="H80" s="64"/>
      <c r="I80" s="64"/>
      <c r="K80" s="64"/>
      <c r="L80" s="64"/>
    </row>
    <row r="81" spans="7:12">
      <c r="G81" s="71"/>
      <c r="H81" s="64"/>
      <c r="I81" s="64"/>
      <c r="K81" s="64"/>
      <c r="L81" s="64"/>
    </row>
    <row r="82" spans="7:12">
      <c r="G82" s="71"/>
      <c r="H82" s="64"/>
      <c r="I82" s="64"/>
      <c r="K82" s="64"/>
      <c r="L82" s="64"/>
    </row>
    <row r="83" spans="7:12">
      <c r="G83" s="71"/>
      <c r="H83" s="64"/>
      <c r="I83" s="64"/>
      <c r="K83" s="64"/>
      <c r="L83" s="64"/>
    </row>
    <row r="84" spans="7:12">
      <c r="G84" s="71"/>
      <c r="H84" s="64"/>
      <c r="I84" s="64"/>
      <c r="K84" s="64"/>
      <c r="L84" s="64"/>
    </row>
    <row r="85" spans="7:12">
      <c r="G85" s="71"/>
      <c r="H85" s="64"/>
      <c r="I85" s="64"/>
      <c r="K85" s="64"/>
      <c r="L85" s="64"/>
    </row>
    <row r="86" spans="7:12">
      <c r="G86" s="71"/>
      <c r="H86" s="64"/>
      <c r="I86" s="64"/>
      <c r="K86" s="64"/>
      <c r="L86" s="64"/>
    </row>
    <row r="87" spans="7:12">
      <c r="G87" s="71"/>
      <c r="H87" s="64"/>
      <c r="I87" s="64"/>
      <c r="K87" s="64"/>
      <c r="L87" s="64"/>
    </row>
    <row r="88" spans="7:12">
      <c r="G88" s="71"/>
      <c r="H88" s="64"/>
      <c r="I88" s="64"/>
      <c r="K88" s="64"/>
      <c r="L88" s="64"/>
    </row>
    <row r="89" spans="7:12">
      <c r="G89" s="71"/>
      <c r="H89" s="64"/>
      <c r="I89" s="64"/>
      <c r="K89" s="64"/>
      <c r="L89" s="64"/>
    </row>
    <row r="90" spans="7:12">
      <c r="G90" s="71"/>
      <c r="H90" s="64"/>
      <c r="K90" s="64"/>
      <c r="L90" s="64"/>
    </row>
    <row r="91" spans="7:12">
      <c r="G91" s="71"/>
      <c r="H91" s="64"/>
      <c r="K91" s="64"/>
      <c r="L91" s="64"/>
    </row>
    <row r="92" spans="7:12">
      <c r="G92" s="71"/>
      <c r="H92" s="64"/>
      <c r="K92" s="64"/>
      <c r="L92" s="64"/>
    </row>
    <row r="93" spans="7:12">
      <c r="G93" s="71"/>
      <c r="H93" s="64"/>
      <c r="K93" s="64"/>
      <c r="L93" s="64"/>
    </row>
    <row r="94" spans="7:12">
      <c r="G94" s="71"/>
      <c r="H94" s="64"/>
      <c r="K94" s="64"/>
      <c r="L94" s="64"/>
    </row>
    <row r="95" spans="7:12">
      <c r="G95" s="71"/>
      <c r="H95" s="64"/>
      <c r="K95" s="64"/>
      <c r="L95" s="64"/>
    </row>
    <row r="96" spans="7:12">
      <c r="G96" s="71"/>
      <c r="H96" s="64"/>
      <c r="K96" s="64"/>
      <c r="L96" s="64"/>
    </row>
    <row r="97" spans="7:12">
      <c r="G97" s="71"/>
      <c r="H97" s="64"/>
      <c r="K97" s="64"/>
      <c r="L97" s="64"/>
    </row>
    <row r="98" spans="7:12">
      <c r="G98" s="71"/>
      <c r="H98" s="64"/>
      <c r="K98" s="64"/>
      <c r="L98" s="64"/>
    </row>
    <row r="99" spans="7:12">
      <c r="G99" s="71"/>
      <c r="H99" s="64"/>
      <c r="K99" s="64"/>
      <c r="L99" s="64"/>
    </row>
    <row r="100" spans="7:12">
      <c r="G100" s="71"/>
      <c r="H100" s="64"/>
      <c r="K100" s="64"/>
      <c r="L100" s="64"/>
    </row>
    <row r="101" spans="7:12">
      <c r="G101" s="71"/>
      <c r="H101" s="64"/>
    </row>
    <row r="102" spans="7:12">
      <c r="G102" s="71"/>
      <c r="H102" s="64"/>
    </row>
    <row r="103" spans="7:12">
      <c r="G103" s="71"/>
      <c r="H103" s="64"/>
    </row>
    <row r="104" spans="7:12">
      <c r="G104" s="71"/>
    </row>
    <row r="105" spans="7:12">
      <c r="G105" s="71"/>
    </row>
    <row r="106" spans="7:12">
      <c r="G106" s="71"/>
    </row>
    <row r="107" spans="7:12">
      <c r="G107" s="71"/>
    </row>
    <row r="108" spans="7:12">
      <c r="G108" s="71"/>
    </row>
    <row r="109" spans="7:12">
      <c r="G109" s="71"/>
    </row>
    <row r="110" spans="7:12">
      <c r="G110" s="71"/>
    </row>
  </sheetData>
  <mergeCells count="124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10"/>
  <sheetViews>
    <sheetView topLeftCell="I25" zoomScale="51" zoomScaleNormal="51" workbookViewId="0">
      <selection activeCell="B15" sqref="B15:G16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0.5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138100000596</v>
      </c>
      <c r="D5" s="18" t="s">
        <v>252</v>
      </c>
      <c r="E5" s="13">
        <v>91222</v>
      </c>
      <c r="F5" s="12">
        <v>18</v>
      </c>
      <c r="G5" s="25" t="s">
        <v>250</v>
      </c>
      <c r="H5" s="19">
        <v>90504</v>
      </c>
      <c r="I5" s="16">
        <v>18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138100000610</v>
      </c>
      <c r="D6" s="18" t="s">
        <v>252</v>
      </c>
      <c r="E6" s="19">
        <v>125757</v>
      </c>
      <c r="F6" s="12">
        <v>25</v>
      </c>
      <c r="G6" s="25" t="s">
        <v>259</v>
      </c>
      <c r="H6" s="19">
        <v>124616</v>
      </c>
      <c r="I6" s="14">
        <v>25</v>
      </c>
      <c r="J6" s="99" t="s">
        <v>16</v>
      </c>
      <c r="K6" s="100"/>
      <c r="L6" s="101">
        <v>25.097999999999999</v>
      </c>
      <c r="M6" s="102"/>
      <c r="N6" s="20" t="s">
        <v>17</v>
      </c>
      <c r="O6" s="21">
        <f>(O9-L6)/O9</f>
        <v>0.9409564407305987</v>
      </c>
      <c r="Q6" s="22"/>
    </row>
    <row r="7" spans="1:17" ht="64.349999999999994" customHeight="1">
      <c r="A7" s="108"/>
      <c r="B7" s="10">
        <v>3</v>
      </c>
      <c r="C7" s="11">
        <v>138100000597</v>
      </c>
      <c r="D7" s="18" t="s">
        <v>252</v>
      </c>
      <c r="E7" s="19">
        <v>151306</v>
      </c>
      <c r="F7" s="12">
        <v>30</v>
      </c>
      <c r="G7" s="25" t="s">
        <v>263</v>
      </c>
      <c r="H7" s="19">
        <v>150096</v>
      </c>
      <c r="I7" s="14">
        <v>30</v>
      </c>
      <c r="J7" s="99" t="s">
        <v>18</v>
      </c>
      <c r="K7" s="100"/>
      <c r="L7" s="101">
        <f>L6+'18-05-26'!L7:M7</f>
        <v>324.56400000000002</v>
      </c>
      <c r="M7" s="102"/>
      <c r="N7" s="26" t="s">
        <v>19</v>
      </c>
      <c r="O7" s="27">
        <f>(O10-L7)/O10</f>
        <v>0.96148354407787118</v>
      </c>
    </row>
    <row r="8" spans="1:17" ht="64.349999999999994" customHeight="1">
      <c r="A8" s="108"/>
      <c r="B8" s="17">
        <v>4</v>
      </c>
      <c r="C8" s="11">
        <v>138100000598</v>
      </c>
      <c r="D8" s="18" t="s">
        <v>264</v>
      </c>
      <c r="E8" s="15">
        <v>60374</v>
      </c>
      <c r="F8" s="12">
        <v>12</v>
      </c>
      <c r="G8" s="25" t="s">
        <v>263</v>
      </c>
      <c r="H8" s="19">
        <v>59860</v>
      </c>
      <c r="I8" s="14">
        <v>12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/>
      <c r="C9" s="11"/>
      <c r="D9" s="12"/>
      <c r="E9" s="19"/>
      <c r="F9" s="18"/>
      <c r="G9" s="12"/>
      <c r="H9" s="28"/>
      <c r="I9" s="16"/>
      <c r="J9" s="99" t="s">
        <v>22</v>
      </c>
      <c r="K9" s="100"/>
      <c r="L9" s="101">
        <v>428.65899999999999</v>
      </c>
      <c r="M9" s="102"/>
      <c r="N9" s="30" t="s">
        <v>22</v>
      </c>
      <c r="O9" s="31">
        <v>425.07600000000002</v>
      </c>
      <c r="Q9" s="32"/>
    </row>
    <row r="10" spans="1:17" ht="64.349999999999994" customHeight="1">
      <c r="A10" s="108"/>
      <c r="B10" s="17"/>
      <c r="C10" s="11"/>
      <c r="D10" s="18"/>
      <c r="E10" s="28"/>
      <c r="F10" s="12"/>
      <c r="G10" s="18"/>
      <c r="H10" s="28"/>
      <c r="I10" s="14"/>
      <c r="J10" s="99" t="s">
        <v>23</v>
      </c>
      <c r="K10" s="100"/>
      <c r="L10" s="101">
        <f>L9+'18-05-26'!L10:M10</f>
        <v>8505.1970000000001</v>
      </c>
      <c r="M10" s="102"/>
      <c r="N10" s="30" t="s">
        <v>23</v>
      </c>
      <c r="O10" s="70">
        <f>O9+'18-05-26'!O10</f>
        <v>8426.6319999999996</v>
      </c>
      <c r="Q10" s="64"/>
    </row>
    <row r="11" spans="1:17" ht="64.349999999999994" customHeight="1">
      <c r="A11" s="108"/>
      <c r="B11" s="10"/>
      <c r="C11" s="11"/>
      <c r="D11" s="18"/>
      <c r="E11" s="13"/>
      <c r="F11" s="12"/>
      <c r="G11" s="25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25"/>
      <c r="E12" s="13"/>
      <c r="F12" s="12"/>
      <c r="G12" s="25"/>
      <c r="H12" s="13"/>
      <c r="I12" s="14"/>
      <c r="J12" s="99" t="s">
        <v>26</v>
      </c>
      <c r="K12" s="100"/>
      <c r="L12" s="119">
        <f>O9/(11-I33)</f>
        <v>39.726728971962622</v>
      </c>
      <c r="M12" s="120"/>
      <c r="N12" s="33" t="s">
        <v>27</v>
      </c>
      <c r="O12" s="27">
        <f>(11-I33)/11</f>
        <v>0.97272727272727266</v>
      </c>
      <c r="Q12" s="64"/>
    </row>
    <row r="13" spans="1:17" ht="64.349999999999994" customHeight="1">
      <c r="A13" s="108"/>
      <c r="B13" s="17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46.047169398907101</v>
      </c>
      <c r="M13" s="120"/>
      <c r="N13" s="33" t="s">
        <v>29</v>
      </c>
      <c r="O13" s="27">
        <f>O46/L46</f>
        <v>0.92893401015228427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260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3203</v>
      </c>
      <c r="M15" s="132"/>
      <c r="N15" s="33" t="s">
        <v>35</v>
      </c>
      <c r="O15" s="36">
        <f>L15/L9</f>
        <v>7.4721398594220583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6</v>
      </c>
      <c r="I16" s="35">
        <f>ROUND(H16/60,1)</f>
        <v>0.1</v>
      </c>
      <c r="J16" s="99" t="s">
        <v>36</v>
      </c>
      <c r="K16" s="100"/>
      <c r="L16" s="131">
        <f>L15+'18-05-26'!L16:M16</f>
        <v>59860</v>
      </c>
      <c r="M16" s="132"/>
      <c r="N16" s="33" t="s">
        <v>37</v>
      </c>
      <c r="O16" s="36">
        <f>L16/L10</f>
        <v>7.0380497947313856</v>
      </c>
      <c r="Q16" s="64"/>
    </row>
    <row r="17" spans="1:17" ht="58.8" customHeight="1">
      <c r="A17" s="108"/>
      <c r="B17" s="127" t="s">
        <v>261</v>
      </c>
      <c r="C17" s="127"/>
      <c r="D17" s="127"/>
      <c r="E17" s="127"/>
      <c r="F17" s="127"/>
      <c r="G17" s="128"/>
      <c r="H17" s="133">
        <v>5</v>
      </c>
      <c r="I17" s="133">
        <f t="shared" ref="I17:I19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12</v>
      </c>
      <c r="M18" s="132"/>
      <c r="N18" s="33" t="s">
        <v>40</v>
      </c>
      <c r="O18" s="37">
        <f>L18/L9</f>
        <v>2.7994279835486951E-2</v>
      </c>
      <c r="Q18" s="64"/>
    </row>
    <row r="19" spans="1:17" ht="58.8" customHeight="1">
      <c r="A19" s="108"/>
      <c r="B19" s="127" t="s">
        <v>262</v>
      </c>
      <c r="C19" s="127"/>
      <c r="D19" s="127"/>
      <c r="E19" s="127"/>
      <c r="F19" s="127"/>
      <c r="G19" s="128"/>
      <c r="H19" s="133">
        <v>6</v>
      </c>
      <c r="I19" s="133">
        <f t="shared" si="0"/>
        <v>0.1</v>
      </c>
      <c r="J19" s="99" t="s">
        <v>41</v>
      </c>
      <c r="K19" s="100"/>
      <c r="L19" s="131">
        <f>L18+'18-05-26'!L19:M19</f>
        <v>168</v>
      </c>
      <c r="M19" s="132"/>
      <c r="N19" s="33" t="s">
        <v>42</v>
      </c>
      <c r="O19" s="38">
        <f>L19/L10</f>
        <v>1.9752628892664097E-2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/>
      <c r="C21" s="127"/>
      <c r="D21" s="127"/>
      <c r="E21" s="127"/>
      <c r="F21" s="127"/>
      <c r="G21" s="128"/>
      <c r="H21" s="133"/>
      <c r="I21" s="133"/>
      <c r="J21" s="99" t="s">
        <v>45</v>
      </c>
      <c r="K21" s="100"/>
      <c r="L21" s="131">
        <v>282</v>
      </c>
      <c r="M21" s="132"/>
      <c r="N21" s="30" t="s">
        <v>45</v>
      </c>
      <c r="O21" s="39">
        <v>244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134"/>
      <c r="J22" s="99" t="s">
        <v>46</v>
      </c>
      <c r="K22" s="100"/>
      <c r="L22" s="131">
        <f>L21+'18-05-26'!L22:M22</f>
        <v>5634</v>
      </c>
      <c r="M22" s="132"/>
      <c r="N22" s="30" t="s">
        <v>46</v>
      </c>
      <c r="O22" s="39">
        <f>O21+'18-05-26'!O22</f>
        <v>6792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132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202"/>
      <c r="J25" s="99" t="s">
        <v>46</v>
      </c>
      <c r="K25" s="100"/>
      <c r="L25" s="131">
        <f>L24+'18-05-26'!L25:M25</f>
        <v>3535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202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1362</v>
      </c>
      <c r="M27" s="156"/>
      <c r="N27" s="41" t="s">
        <v>51</v>
      </c>
      <c r="O27" s="42">
        <f>L27/L9</f>
        <v>3.1773507613277689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L27+'18-05-26'!L28:M28</f>
        <v>25912</v>
      </c>
      <c r="M28" s="156"/>
      <c r="N28" s="41" t="s">
        <v>53</v>
      </c>
      <c r="O28" s="42">
        <f>L28/L10</f>
        <v>3.0466078563494765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36</v>
      </c>
      <c r="M30" s="166"/>
      <c r="N30" s="166"/>
      <c r="O30" s="167"/>
      <c r="Q30" s="64"/>
    </row>
    <row r="31" spans="1:17" ht="58.8" customHeight="1">
      <c r="A31" s="108"/>
      <c r="B31" s="162"/>
      <c r="C31" s="162"/>
      <c r="D31" s="162"/>
      <c r="E31" s="162"/>
      <c r="F31" s="162"/>
      <c r="G31" s="163"/>
      <c r="H31" s="133"/>
      <c r="I31" s="133"/>
      <c r="J31" s="153" t="s">
        <v>56</v>
      </c>
      <c r="K31" s="154"/>
      <c r="L31" s="155">
        <f>L30+'18-05-26'!L31:O31</f>
        <v>504</v>
      </c>
      <c r="M31" s="166"/>
      <c r="N31" s="166"/>
      <c r="O31" s="167"/>
      <c r="Q31" s="64"/>
    </row>
    <row r="32" spans="1:17" ht="58.8" customHeight="1">
      <c r="A32" s="108"/>
      <c r="B32" s="164"/>
      <c r="C32" s="164"/>
      <c r="D32" s="164"/>
      <c r="E32" s="164"/>
      <c r="F32" s="164"/>
      <c r="G32" s="165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ROUND(I16+I17+I19+I21+I23+I25+I27+I29+I31,1)</f>
        <v>0.3</v>
      </c>
      <c r="J33" s="99" t="s">
        <v>34</v>
      </c>
      <c r="K33" s="100"/>
      <c r="L33" s="155">
        <v>15855</v>
      </c>
      <c r="M33" s="156"/>
      <c r="N33" s="33" t="s">
        <v>58</v>
      </c>
      <c r="O33" s="43">
        <f>L33/O9</f>
        <v>37.299212376139792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L33+'18-05-26'!L34:M35</f>
        <v>339987</v>
      </c>
      <c r="M34" s="132"/>
      <c r="N34" s="33" t="s">
        <v>59</v>
      </c>
      <c r="O34" s="43">
        <f>L34/O10</f>
        <v>40.3467245276642</v>
      </c>
      <c r="Q34" s="64"/>
    </row>
    <row r="35" spans="1:17" ht="43.35" customHeight="1">
      <c r="A35" s="107" t="s">
        <v>60</v>
      </c>
      <c r="B35" s="203" t="s">
        <v>265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0</v>
      </c>
      <c r="M36" s="45">
        <f>L36+'18-05-26'!M36</f>
        <v>3464</v>
      </c>
      <c r="N36" s="65">
        <f>L36/1000/L9</f>
        <v>0</v>
      </c>
      <c r="O36" s="66">
        <f>M36/1000/L10</f>
        <v>4.0728039573921683E-4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158</v>
      </c>
      <c r="M37" s="45">
        <f>L37+'18-05-26'!M37</f>
        <v>4952</v>
      </c>
      <c r="N37" s="65">
        <f>L37/1000/L9</f>
        <v>3.6859135116724484E-4</v>
      </c>
      <c r="O37" s="66">
        <f>M37/1000/L10</f>
        <v>5.8223225164567025E-4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200</v>
      </c>
      <c r="M38" s="46">
        <f>L38+'18-05-26'!M38</f>
        <v>4963</v>
      </c>
      <c r="N38" s="65">
        <f>L38/1000/L9</f>
        <v>4.6657133059144917E-4</v>
      </c>
      <c r="O38" s="66">
        <f>M38/1000/L10</f>
        <v>5.8352557853745188E-4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358</v>
      </c>
      <c r="M39" s="132"/>
      <c r="N39" s="30" t="s">
        <v>66</v>
      </c>
      <c r="O39" s="47">
        <f>O9/L9</f>
        <v>0.99164137461245427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L39+'18-05-26'!L40:M40</f>
        <v>13379</v>
      </c>
      <c r="M40" s="132"/>
      <c r="N40" s="30" t="s">
        <v>29</v>
      </c>
      <c r="O40" s="47">
        <f>(O10)/(L10-L22/1000)</f>
        <v>0.99141944121127168</v>
      </c>
      <c r="P40" s="48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 t="s">
        <v>266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L42+'18-05-26'!L43:M43</f>
        <v>860</v>
      </c>
      <c r="M43" s="183"/>
      <c r="N43" s="49" t="s">
        <v>70</v>
      </c>
      <c r="O43" s="50">
        <f>L43/O10</f>
        <v>0.10205738188163432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10.7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L45+'18-05-26'!L46:M46</f>
        <v>197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'!I33-'13-05-26'!I33-'14-05-26'!I33-'15-05-26'!I33-'16-05-26'!I33-'17-05-26'!I33-'18-05-26'!I33,1)</f>
        <v>183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G52" s="71"/>
      <c r="K52" s="64"/>
    </row>
    <row r="53" spans="1:12">
      <c r="G53" s="71"/>
      <c r="J53" s="64"/>
      <c r="K53" s="64"/>
      <c r="L53" s="64"/>
    </row>
    <row r="54" spans="1:12">
      <c r="G54" s="71"/>
      <c r="J54" s="64"/>
      <c r="K54" s="64"/>
      <c r="L54" s="64"/>
    </row>
    <row r="55" spans="1:12">
      <c r="G55" s="71"/>
      <c r="J55" s="64"/>
      <c r="K55" s="64"/>
      <c r="L55" s="64"/>
    </row>
    <row r="56" spans="1:12">
      <c r="E56" s="62"/>
      <c r="G56" s="71"/>
      <c r="J56" s="64"/>
      <c r="K56" s="64"/>
      <c r="L56" s="64"/>
    </row>
    <row r="57" spans="1:12">
      <c r="G57" s="71"/>
      <c r="J57" s="64"/>
      <c r="K57" s="64"/>
      <c r="L57" s="64"/>
    </row>
    <row r="58" spans="1:12">
      <c r="G58" s="71"/>
      <c r="H58" s="69"/>
      <c r="J58" s="64"/>
      <c r="K58" s="64"/>
      <c r="L58" s="64"/>
    </row>
    <row r="59" spans="1:12">
      <c r="G59" s="71"/>
      <c r="H59" s="64"/>
      <c r="I59" s="64"/>
      <c r="J59" s="64"/>
      <c r="K59" s="64"/>
      <c r="L59" s="64"/>
    </row>
    <row r="60" spans="1:12">
      <c r="G60" s="71"/>
      <c r="H60" s="64"/>
      <c r="I60" s="64"/>
      <c r="J60" s="64"/>
      <c r="K60" s="64"/>
      <c r="L60" s="64"/>
    </row>
    <row r="61" spans="1:12">
      <c r="G61" s="71"/>
      <c r="H61" s="64"/>
      <c r="I61" s="64"/>
      <c r="J61" s="64"/>
      <c r="K61" s="64"/>
      <c r="L61" s="64"/>
    </row>
    <row r="62" spans="1:12">
      <c r="G62" s="71"/>
      <c r="H62" s="64"/>
      <c r="I62" s="64"/>
      <c r="J62" s="64"/>
      <c r="K62" s="64"/>
      <c r="L62" s="64"/>
    </row>
    <row r="63" spans="1:12">
      <c r="G63" s="71"/>
      <c r="H63" s="64"/>
      <c r="I63" s="64"/>
      <c r="J63" s="64"/>
      <c r="K63" s="64"/>
      <c r="L63" s="64"/>
    </row>
    <row r="64" spans="1:12">
      <c r="G64" s="71"/>
      <c r="H64" s="64"/>
      <c r="I64" s="64"/>
      <c r="J64" s="64"/>
      <c r="K64" s="64"/>
      <c r="L64" s="64"/>
    </row>
    <row r="65" spans="7:12">
      <c r="G65" s="71"/>
      <c r="H65" s="64"/>
      <c r="I65" s="64"/>
      <c r="J65" s="64"/>
      <c r="K65" s="64"/>
      <c r="L65" s="64"/>
    </row>
    <row r="66" spans="7:12">
      <c r="G66" s="71"/>
      <c r="H66" s="64"/>
      <c r="I66" s="64"/>
      <c r="J66" s="64"/>
      <c r="K66" s="64"/>
      <c r="L66" s="64"/>
    </row>
    <row r="67" spans="7:12">
      <c r="G67" s="71"/>
      <c r="H67" s="64"/>
      <c r="I67" s="64"/>
      <c r="J67" s="64"/>
      <c r="K67" s="64"/>
      <c r="L67" s="64"/>
    </row>
    <row r="68" spans="7:12">
      <c r="G68" s="71"/>
      <c r="H68" s="64"/>
      <c r="I68" s="64"/>
      <c r="J68" s="64"/>
      <c r="K68" s="64"/>
      <c r="L68" s="64"/>
    </row>
    <row r="69" spans="7:12">
      <c r="G69" s="71"/>
      <c r="H69" s="64"/>
      <c r="I69" s="64"/>
      <c r="J69" s="64"/>
      <c r="K69" s="64"/>
      <c r="L69" s="64"/>
    </row>
    <row r="70" spans="7:12">
      <c r="G70" s="71"/>
      <c r="H70" s="64"/>
      <c r="I70" s="64"/>
      <c r="J70" s="64"/>
      <c r="K70" s="64"/>
      <c r="L70" s="64"/>
    </row>
    <row r="71" spans="7:12">
      <c r="G71" s="71"/>
      <c r="H71" s="64"/>
      <c r="I71" s="64"/>
      <c r="J71" s="64"/>
      <c r="K71" s="64"/>
      <c r="L71" s="64"/>
    </row>
    <row r="72" spans="7:12">
      <c r="G72" s="71"/>
      <c r="H72" s="64"/>
      <c r="I72" s="64"/>
      <c r="J72" s="64"/>
      <c r="K72" s="64"/>
      <c r="L72" s="64"/>
    </row>
    <row r="73" spans="7:12">
      <c r="G73" s="71"/>
      <c r="H73" s="64"/>
      <c r="I73" s="64"/>
      <c r="J73" s="64"/>
      <c r="K73" s="64"/>
      <c r="L73" s="64"/>
    </row>
    <row r="74" spans="7:12">
      <c r="G74" s="71"/>
      <c r="H74" s="64"/>
      <c r="I74" s="64"/>
      <c r="J74" s="64"/>
      <c r="K74" s="64"/>
      <c r="L74" s="64"/>
    </row>
    <row r="75" spans="7:12">
      <c r="G75" s="71"/>
      <c r="H75" s="64"/>
      <c r="I75" s="64"/>
      <c r="J75" s="64"/>
      <c r="K75" s="64"/>
      <c r="L75" s="64"/>
    </row>
    <row r="76" spans="7:12">
      <c r="G76" s="71"/>
      <c r="H76" s="64"/>
      <c r="I76" s="64"/>
      <c r="J76" s="64"/>
      <c r="K76" s="64"/>
      <c r="L76" s="64"/>
    </row>
    <row r="77" spans="7:12">
      <c r="G77" s="71"/>
      <c r="H77" s="64"/>
      <c r="I77" s="64"/>
      <c r="K77" s="64"/>
      <c r="L77" s="64"/>
    </row>
    <row r="78" spans="7:12">
      <c r="G78" s="71"/>
      <c r="H78" s="64"/>
      <c r="I78" s="64"/>
      <c r="K78" s="64"/>
      <c r="L78" s="64"/>
    </row>
    <row r="79" spans="7:12">
      <c r="G79" s="71"/>
      <c r="H79" s="64"/>
      <c r="I79" s="64"/>
      <c r="K79" s="64"/>
      <c r="L79" s="64"/>
    </row>
    <row r="80" spans="7:12">
      <c r="G80" s="71"/>
      <c r="H80" s="64"/>
      <c r="I80" s="64"/>
      <c r="K80" s="64"/>
      <c r="L80" s="64"/>
    </row>
    <row r="81" spans="7:12">
      <c r="G81" s="71"/>
      <c r="H81" s="64"/>
      <c r="I81" s="64"/>
      <c r="K81" s="64"/>
      <c r="L81" s="64"/>
    </row>
    <row r="82" spans="7:12">
      <c r="G82" s="71"/>
      <c r="H82" s="64"/>
      <c r="I82" s="64"/>
      <c r="K82" s="64"/>
      <c r="L82" s="64"/>
    </row>
    <row r="83" spans="7:12">
      <c r="G83" s="71"/>
      <c r="H83" s="64"/>
      <c r="I83" s="64"/>
      <c r="K83" s="64"/>
      <c r="L83" s="64"/>
    </row>
    <row r="84" spans="7:12">
      <c r="G84" s="71"/>
      <c r="H84" s="64"/>
      <c r="I84" s="64"/>
      <c r="K84" s="64"/>
      <c r="L84" s="64"/>
    </row>
    <row r="85" spans="7:12">
      <c r="G85" s="71"/>
      <c r="H85" s="64"/>
      <c r="I85" s="64"/>
      <c r="K85" s="64"/>
      <c r="L85" s="64"/>
    </row>
    <row r="86" spans="7:12">
      <c r="G86" s="71"/>
      <c r="H86" s="64"/>
      <c r="I86" s="64"/>
      <c r="K86" s="64"/>
      <c r="L86" s="64"/>
    </row>
    <row r="87" spans="7:12">
      <c r="G87" s="71"/>
      <c r="H87" s="64"/>
      <c r="I87" s="64"/>
      <c r="K87" s="64"/>
      <c r="L87" s="64"/>
    </row>
    <row r="88" spans="7:12">
      <c r="G88" s="71"/>
      <c r="H88" s="64"/>
      <c r="I88" s="64"/>
      <c r="K88" s="64"/>
      <c r="L88" s="64"/>
    </row>
    <row r="89" spans="7:12">
      <c r="G89" s="71"/>
      <c r="H89" s="64"/>
      <c r="I89" s="64"/>
      <c r="K89" s="64"/>
      <c r="L89" s="64"/>
    </row>
    <row r="90" spans="7:12">
      <c r="G90" s="71"/>
      <c r="H90" s="64"/>
      <c r="K90" s="64"/>
      <c r="L90" s="64"/>
    </row>
    <row r="91" spans="7:12">
      <c r="G91" s="71"/>
      <c r="H91" s="64"/>
      <c r="K91" s="64"/>
      <c r="L91" s="64"/>
    </row>
    <row r="92" spans="7:12">
      <c r="G92" s="71"/>
      <c r="H92" s="64"/>
      <c r="K92" s="64"/>
      <c r="L92" s="64"/>
    </row>
    <row r="93" spans="7:12">
      <c r="G93" s="71"/>
      <c r="H93" s="64"/>
      <c r="K93" s="64"/>
      <c r="L93" s="64"/>
    </row>
    <row r="94" spans="7:12">
      <c r="G94" s="71"/>
      <c r="H94" s="64"/>
      <c r="K94" s="64"/>
      <c r="L94" s="64"/>
    </row>
    <row r="95" spans="7:12">
      <c r="G95" s="71"/>
      <c r="H95" s="64"/>
      <c r="K95" s="64"/>
      <c r="L95" s="64"/>
    </row>
    <row r="96" spans="7:12">
      <c r="G96" s="71"/>
      <c r="H96" s="64"/>
      <c r="K96" s="64"/>
      <c r="L96" s="64"/>
    </row>
    <row r="97" spans="7:12">
      <c r="G97" s="71"/>
      <c r="H97" s="64"/>
      <c r="K97" s="64"/>
      <c r="L97" s="64"/>
    </row>
    <row r="98" spans="7:12">
      <c r="G98" s="71"/>
      <c r="H98" s="64"/>
      <c r="K98" s="64"/>
      <c r="L98" s="64"/>
    </row>
    <row r="99" spans="7:12">
      <c r="G99" s="71"/>
      <c r="H99" s="64"/>
      <c r="K99" s="64"/>
      <c r="L99" s="64"/>
    </row>
    <row r="100" spans="7:12">
      <c r="G100" s="71"/>
      <c r="H100" s="64"/>
      <c r="K100" s="64"/>
      <c r="L100" s="64"/>
    </row>
    <row r="101" spans="7:12">
      <c r="G101" s="71"/>
      <c r="H101" s="64"/>
    </row>
    <row r="102" spans="7:12">
      <c r="G102" s="71"/>
      <c r="H102" s="64"/>
    </row>
    <row r="103" spans="7:12">
      <c r="G103" s="71"/>
      <c r="H103" s="64"/>
    </row>
    <row r="104" spans="7:12">
      <c r="G104" s="71"/>
    </row>
    <row r="105" spans="7:12">
      <c r="G105" s="71"/>
    </row>
    <row r="106" spans="7:12">
      <c r="G106" s="71"/>
    </row>
    <row r="107" spans="7:12">
      <c r="G107" s="71"/>
    </row>
    <row r="108" spans="7:12">
      <c r="G108" s="71"/>
    </row>
    <row r="109" spans="7:12">
      <c r="G109" s="71"/>
    </row>
    <row r="110" spans="7:12">
      <c r="G110" s="71"/>
    </row>
  </sheetData>
  <mergeCells count="124">
    <mergeCell ref="A48:I4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  <mergeCell ref="J36:K36"/>
    <mergeCell ref="B37:I38"/>
    <mergeCell ref="J37:K37"/>
    <mergeCell ref="J38:K38"/>
    <mergeCell ref="B39:I40"/>
    <mergeCell ref="J39:K39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10"/>
  <sheetViews>
    <sheetView topLeftCell="H25" zoomScale="53" zoomScaleNormal="53" workbookViewId="0">
      <selection activeCell="P8" sqref="P8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0.5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86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87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138100000598</v>
      </c>
      <c r="D5" s="18" t="s">
        <v>264</v>
      </c>
      <c r="E5" s="15">
        <v>70381</v>
      </c>
      <c r="F5" s="12">
        <v>14</v>
      </c>
      <c r="G5" s="25" t="s">
        <v>263</v>
      </c>
      <c r="H5" s="19">
        <v>69744</v>
      </c>
      <c r="I5" s="16">
        <v>14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138100000610</v>
      </c>
      <c r="D6" s="18" t="s">
        <v>252</v>
      </c>
      <c r="E6" s="19">
        <v>20441</v>
      </c>
      <c r="F6" s="12">
        <v>4</v>
      </c>
      <c r="G6" s="25" t="s">
        <v>259</v>
      </c>
      <c r="H6" s="19">
        <v>20110</v>
      </c>
      <c r="I6" s="14">
        <v>4</v>
      </c>
      <c r="J6" s="99" t="s">
        <v>16</v>
      </c>
      <c r="K6" s="100"/>
      <c r="L6" s="101">
        <v>19.46</v>
      </c>
      <c r="M6" s="102"/>
      <c r="N6" s="20" t="s">
        <v>17</v>
      </c>
      <c r="O6" s="21">
        <f>(O9-L6)/O9</f>
        <v>0.89619340246660684</v>
      </c>
      <c r="Q6" s="22"/>
    </row>
    <row r="7" spans="1:17" ht="64.349999999999994" customHeight="1">
      <c r="A7" s="108"/>
      <c r="B7" s="10">
        <v>3</v>
      </c>
      <c r="C7" s="11">
        <v>138100000633</v>
      </c>
      <c r="D7" s="18" t="s">
        <v>267</v>
      </c>
      <c r="E7" s="19">
        <v>4618</v>
      </c>
      <c r="F7" s="12">
        <v>1</v>
      </c>
      <c r="G7" s="25" t="s">
        <v>269</v>
      </c>
      <c r="H7" s="19">
        <v>3812</v>
      </c>
      <c r="I7" s="14">
        <v>1</v>
      </c>
      <c r="J7" s="99" t="s">
        <v>18</v>
      </c>
      <c r="K7" s="100"/>
      <c r="L7" s="101">
        <f>L6+'19-05-26'!L7:M7</f>
        <v>344.024</v>
      </c>
      <c r="M7" s="102"/>
      <c r="N7" s="26" t="s">
        <v>19</v>
      </c>
      <c r="O7" s="27">
        <f>(O10-L7)/O10</f>
        <v>0.96006266937354778</v>
      </c>
    </row>
    <row r="8" spans="1:17" ht="64.349999999999994" customHeight="1">
      <c r="A8" s="108"/>
      <c r="B8" s="17">
        <v>4</v>
      </c>
      <c r="C8" s="11">
        <v>138100000615</v>
      </c>
      <c r="D8" s="18" t="s">
        <v>268</v>
      </c>
      <c r="E8" s="15">
        <v>10433</v>
      </c>
      <c r="F8" s="12">
        <v>2</v>
      </c>
      <c r="G8" s="25" t="s">
        <v>270</v>
      </c>
      <c r="H8" s="19">
        <v>9362</v>
      </c>
      <c r="I8" s="14">
        <v>2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138100000616</v>
      </c>
      <c r="D9" s="18" t="s">
        <v>268</v>
      </c>
      <c r="E9" s="19">
        <v>15543</v>
      </c>
      <c r="F9" s="18">
        <v>3</v>
      </c>
      <c r="G9" s="12" t="s">
        <v>271</v>
      </c>
      <c r="H9" s="28">
        <v>15284</v>
      </c>
      <c r="I9" s="16">
        <v>3</v>
      </c>
      <c r="J9" s="99" t="s">
        <v>22</v>
      </c>
      <c r="K9" s="100"/>
      <c r="L9" s="101">
        <v>192.26599999999999</v>
      </c>
      <c r="M9" s="102"/>
      <c r="N9" s="30" t="s">
        <v>22</v>
      </c>
      <c r="O9" s="31">
        <v>187.464</v>
      </c>
      <c r="Q9" s="32"/>
    </row>
    <row r="10" spans="1:17" ht="64.349999999999994" customHeight="1">
      <c r="A10" s="108"/>
      <c r="B10" s="17">
        <v>6</v>
      </c>
      <c r="C10" s="11">
        <v>138100000617</v>
      </c>
      <c r="D10" s="18" t="s">
        <v>272</v>
      </c>
      <c r="E10" s="28">
        <v>14832</v>
      </c>
      <c r="F10" s="12">
        <v>3</v>
      </c>
      <c r="G10" s="18" t="s">
        <v>274</v>
      </c>
      <c r="H10" s="28">
        <v>14652</v>
      </c>
      <c r="I10" s="14">
        <v>3</v>
      </c>
      <c r="J10" s="99" t="s">
        <v>23</v>
      </c>
      <c r="K10" s="100"/>
      <c r="L10" s="101">
        <f>L9+'19-05-26'!L10:M10</f>
        <v>8697.4629999999997</v>
      </c>
      <c r="M10" s="102"/>
      <c r="N10" s="30" t="s">
        <v>23</v>
      </c>
      <c r="O10" s="70">
        <f>O9+'19-05-26'!O10</f>
        <v>8614.0959999999995</v>
      </c>
      <c r="Q10" s="64"/>
    </row>
    <row r="11" spans="1:17" ht="64.349999999999994" customHeight="1">
      <c r="A11" s="108"/>
      <c r="B11" s="10">
        <v>7</v>
      </c>
      <c r="C11" s="11">
        <v>138100000618</v>
      </c>
      <c r="D11" s="18" t="s">
        <v>273</v>
      </c>
      <c r="E11" s="13">
        <v>32583</v>
      </c>
      <c r="F11" s="12">
        <v>7</v>
      </c>
      <c r="G11" s="12" t="s">
        <v>275</v>
      </c>
      <c r="H11" s="13">
        <v>31638</v>
      </c>
      <c r="I11" s="14">
        <v>7</v>
      </c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>
        <v>8</v>
      </c>
      <c r="C12" s="11">
        <v>138100000619</v>
      </c>
      <c r="D12" s="12" t="s">
        <v>276</v>
      </c>
      <c r="E12" s="13">
        <v>23435</v>
      </c>
      <c r="F12" s="12">
        <v>5</v>
      </c>
      <c r="G12" s="12" t="s">
        <v>277</v>
      </c>
      <c r="H12" s="13">
        <v>22862</v>
      </c>
      <c r="I12" s="14">
        <v>5</v>
      </c>
      <c r="J12" s="99" t="s">
        <v>26</v>
      </c>
      <c r="K12" s="100"/>
      <c r="L12" s="119">
        <f>O9/(11-I33)</f>
        <v>20.600439560439561</v>
      </c>
      <c r="M12" s="120"/>
      <c r="N12" s="33" t="s">
        <v>27</v>
      </c>
      <c r="O12" s="27">
        <f>(11-I33)/11</f>
        <v>0.82727272727272727</v>
      </c>
      <c r="Q12" s="64"/>
    </row>
    <row r="13" spans="1:17" ht="64.349999999999994" customHeight="1">
      <c r="A13" s="108"/>
      <c r="B13" s="10"/>
      <c r="C13" s="23"/>
      <c r="D13" s="12"/>
      <c r="E13" s="13"/>
      <c r="F13" s="12"/>
      <c r="G13" s="12"/>
      <c r="H13" s="13"/>
      <c r="I13" s="14"/>
      <c r="J13" s="99" t="s">
        <v>28</v>
      </c>
      <c r="K13" s="100"/>
      <c r="L13" s="119">
        <f>O10/O46</f>
        <v>44.841728266527852</v>
      </c>
      <c r="M13" s="120"/>
      <c r="N13" s="33" t="s">
        <v>29</v>
      </c>
      <c r="O13" s="27">
        <f>O46/L46</f>
        <v>0.92355769230769225</v>
      </c>
      <c r="Q13" s="64"/>
    </row>
    <row r="14" spans="1:17" ht="64.349999999999994" customHeight="1" thickBot="1">
      <c r="A14" s="109"/>
      <c r="B14" s="17"/>
      <c r="C14" s="23"/>
      <c r="D14" s="12"/>
      <c r="E14" s="13"/>
      <c r="F14" s="12"/>
      <c r="G14" s="14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127" t="s">
        <v>278</v>
      </c>
      <c r="C15" s="127"/>
      <c r="D15" s="127"/>
      <c r="E15" s="127"/>
      <c r="F15" s="127"/>
      <c r="G15" s="128"/>
      <c r="H15" s="34" t="s">
        <v>32</v>
      </c>
      <c r="I15" s="35" t="s">
        <v>33</v>
      </c>
      <c r="J15" s="99" t="s">
        <v>34</v>
      </c>
      <c r="K15" s="100"/>
      <c r="L15" s="131">
        <v>3337</v>
      </c>
      <c r="M15" s="132"/>
      <c r="N15" s="33" t="s">
        <v>35</v>
      </c>
      <c r="O15" s="36">
        <f>L15/L9</f>
        <v>17.356162816098532</v>
      </c>
      <c r="Q15" s="64"/>
    </row>
    <row r="16" spans="1:17" ht="58.8" customHeight="1">
      <c r="A16" s="108"/>
      <c r="B16" s="129"/>
      <c r="C16" s="129"/>
      <c r="D16" s="129"/>
      <c r="E16" s="129"/>
      <c r="F16" s="129"/>
      <c r="G16" s="130"/>
      <c r="H16" s="34">
        <v>5</v>
      </c>
      <c r="I16" s="35">
        <f>ROUND(H16/60,1)</f>
        <v>0.1</v>
      </c>
      <c r="J16" s="99" t="s">
        <v>36</v>
      </c>
      <c r="K16" s="100"/>
      <c r="L16" s="131">
        <f>L15+'19-05-26'!L16:M16</f>
        <v>63197</v>
      </c>
      <c r="M16" s="132"/>
      <c r="N16" s="33" t="s">
        <v>37</v>
      </c>
      <c r="O16" s="36">
        <f>L16/L10</f>
        <v>7.2661418622878884</v>
      </c>
      <c r="Q16" s="64"/>
    </row>
    <row r="17" spans="1:17" ht="58.8" customHeight="1">
      <c r="A17" s="108"/>
      <c r="B17" s="127" t="s">
        <v>279</v>
      </c>
      <c r="C17" s="127"/>
      <c r="D17" s="127"/>
      <c r="E17" s="127"/>
      <c r="F17" s="127"/>
      <c r="G17" s="128"/>
      <c r="H17" s="133">
        <v>5</v>
      </c>
      <c r="I17" s="133">
        <f t="shared" ref="I17:I32" si="0">ROUND(H17/60,1)</f>
        <v>0.1</v>
      </c>
      <c r="J17" s="135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129"/>
      <c r="C18" s="129"/>
      <c r="D18" s="129"/>
      <c r="E18" s="129"/>
      <c r="F18" s="129"/>
      <c r="G18" s="130"/>
      <c r="H18" s="134"/>
      <c r="I18" s="134"/>
      <c r="J18" s="99" t="s">
        <v>39</v>
      </c>
      <c r="K18" s="100"/>
      <c r="L18" s="131">
        <v>3</v>
      </c>
      <c r="M18" s="132"/>
      <c r="N18" s="33" t="s">
        <v>40</v>
      </c>
      <c r="O18" s="37">
        <f>L18/L9</f>
        <v>1.5603382813393945E-2</v>
      </c>
      <c r="Q18" s="64"/>
    </row>
    <row r="19" spans="1:17" ht="58.8" customHeight="1">
      <c r="A19" s="108"/>
      <c r="B19" s="127" t="s">
        <v>280</v>
      </c>
      <c r="C19" s="127"/>
      <c r="D19" s="127"/>
      <c r="E19" s="127"/>
      <c r="F19" s="127"/>
      <c r="G19" s="128"/>
      <c r="H19" s="133">
        <v>4</v>
      </c>
      <c r="I19" s="133">
        <f t="shared" si="0"/>
        <v>0.1</v>
      </c>
      <c r="J19" s="99" t="s">
        <v>41</v>
      </c>
      <c r="K19" s="100"/>
      <c r="L19" s="131">
        <f>L18+'19-05-26'!L19:M19</f>
        <v>171</v>
      </c>
      <c r="M19" s="132"/>
      <c r="N19" s="33" t="s">
        <v>42</v>
      </c>
      <c r="O19" s="38">
        <f>L19/L10</f>
        <v>1.9660905714689446E-2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134"/>
      <c r="I20" s="134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203" t="s">
        <v>281</v>
      </c>
      <c r="C21" s="127"/>
      <c r="D21" s="127"/>
      <c r="E21" s="127"/>
      <c r="F21" s="127"/>
      <c r="G21" s="128"/>
      <c r="H21" s="133">
        <v>17</v>
      </c>
      <c r="I21" s="133">
        <f t="shared" si="0"/>
        <v>0.3</v>
      </c>
      <c r="J21" s="99" t="s">
        <v>45</v>
      </c>
      <c r="K21" s="100"/>
      <c r="L21" s="131">
        <v>132</v>
      </c>
      <c r="M21" s="132"/>
      <c r="N21" s="30" t="s">
        <v>45</v>
      </c>
      <c r="O21" s="39">
        <v>178</v>
      </c>
      <c r="Q21" s="64"/>
    </row>
    <row r="22" spans="1:17" ht="58.8" customHeight="1">
      <c r="A22" s="108"/>
      <c r="B22" s="204"/>
      <c r="C22" s="129"/>
      <c r="D22" s="129"/>
      <c r="E22" s="129"/>
      <c r="F22" s="129"/>
      <c r="G22" s="130"/>
      <c r="H22" s="134"/>
      <c r="I22" s="134"/>
      <c r="J22" s="99" t="s">
        <v>46</v>
      </c>
      <c r="K22" s="100"/>
      <c r="L22" s="131">
        <f>L21+'19-05-26'!L22:M22</f>
        <v>5766</v>
      </c>
      <c r="M22" s="132"/>
      <c r="N22" s="30" t="s">
        <v>46</v>
      </c>
      <c r="O22" s="39">
        <f>O21+'19-05-26'!O22</f>
        <v>6970</v>
      </c>
      <c r="Q22" s="64"/>
    </row>
    <row r="23" spans="1:17" ht="58.8" customHeight="1">
      <c r="A23" s="108"/>
      <c r="B23" s="127" t="s">
        <v>282</v>
      </c>
      <c r="C23" s="127"/>
      <c r="D23" s="127"/>
      <c r="E23" s="127"/>
      <c r="F23" s="127"/>
      <c r="G23" s="128"/>
      <c r="H23" s="133">
        <v>24</v>
      </c>
      <c r="I23" s="133">
        <f t="shared" si="0"/>
        <v>0.4</v>
      </c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62</v>
      </c>
      <c r="M24" s="132"/>
      <c r="N24" s="30" t="s">
        <v>45</v>
      </c>
      <c r="O24" s="40"/>
      <c r="Q24" s="64"/>
    </row>
    <row r="25" spans="1:17" ht="58.8" customHeight="1">
      <c r="A25" s="108"/>
      <c r="B25" s="127" t="s">
        <v>283</v>
      </c>
      <c r="C25" s="127"/>
      <c r="D25" s="127"/>
      <c r="E25" s="127"/>
      <c r="F25" s="127"/>
      <c r="G25" s="128"/>
      <c r="H25" s="133">
        <v>8</v>
      </c>
      <c r="I25" s="133">
        <f t="shared" si="0"/>
        <v>0.1</v>
      </c>
      <c r="J25" s="99" t="s">
        <v>46</v>
      </c>
      <c r="K25" s="100"/>
      <c r="L25" s="131">
        <f>L24+'19-05-26'!L25:M25</f>
        <v>3597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 t="s">
        <v>284</v>
      </c>
      <c r="C27" s="148"/>
      <c r="D27" s="148"/>
      <c r="E27" s="148"/>
      <c r="F27" s="148"/>
      <c r="G27" s="149"/>
      <c r="H27" s="133">
        <v>15</v>
      </c>
      <c r="I27" s="133">
        <f t="shared" si="0"/>
        <v>0.3</v>
      </c>
      <c r="J27" s="153" t="s">
        <v>50</v>
      </c>
      <c r="K27" s="154"/>
      <c r="L27" s="155">
        <v>1441</v>
      </c>
      <c r="M27" s="156"/>
      <c r="N27" s="41" t="s">
        <v>51</v>
      </c>
      <c r="O27" s="42">
        <f>L27/L9</f>
        <v>7.4948248780335582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L27+'19-05-26'!L28:M28</f>
        <v>27353</v>
      </c>
      <c r="M28" s="156"/>
      <c r="N28" s="41" t="s">
        <v>53</v>
      </c>
      <c r="O28" s="42">
        <f>L28/L10</f>
        <v>3.1449400819526341</v>
      </c>
      <c r="Q28" s="64"/>
    </row>
    <row r="29" spans="1:17" ht="58.8" customHeight="1">
      <c r="A29" s="108"/>
      <c r="B29" s="127" t="s">
        <v>285</v>
      </c>
      <c r="C29" s="148"/>
      <c r="D29" s="148"/>
      <c r="E29" s="148"/>
      <c r="F29" s="148"/>
      <c r="G29" s="149"/>
      <c r="H29" s="133">
        <v>8</v>
      </c>
      <c r="I29" s="133">
        <f t="shared" si="0"/>
        <v>0.1</v>
      </c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9</v>
      </c>
      <c r="M30" s="166"/>
      <c r="N30" s="166"/>
      <c r="O30" s="167"/>
      <c r="Q30" s="64"/>
    </row>
    <row r="31" spans="1:17" ht="58.8" customHeight="1">
      <c r="A31" s="212"/>
      <c r="B31" s="211" t="s">
        <v>286</v>
      </c>
      <c r="C31" s="211"/>
      <c r="D31" s="211"/>
      <c r="E31" s="211"/>
      <c r="F31" s="211"/>
      <c r="G31" s="211"/>
      <c r="H31" s="35">
        <v>17</v>
      </c>
      <c r="I31" s="35">
        <f t="shared" si="0"/>
        <v>0.3</v>
      </c>
      <c r="J31" s="153" t="s">
        <v>56</v>
      </c>
      <c r="K31" s="154"/>
      <c r="L31" s="155">
        <f>L30+'19-05-26'!L31:O31</f>
        <v>513</v>
      </c>
      <c r="M31" s="166"/>
      <c r="N31" s="166"/>
      <c r="O31" s="167"/>
      <c r="Q31" s="64"/>
    </row>
    <row r="32" spans="1:17" ht="58.8" customHeight="1">
      <c r="A32" s="212"/>
      <c r="B32" s="211" t="s">
        <v>287</v>
      </c>
      <c r="C32" s="211"/>
      <c r="D32" s="211"/>
      <c r="E32" s="211"/>
      <c r="F32" s="211"/>
      <c r="G32" s="211"/>
      <c r="H32" s="35">
        <v>6</v>
      </c>
      <c r="I32" s="35">
        <f t="shared" si="0"/>
        <v>0.1</v>
      </c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ROUND(I16+I17+I19+I21+I23+I25+I27+I29+I31+I32,1)</f>
        <v>1.9</v>
      </c>
      <c r="J33" s="99" t="s">
        <v>34</v>
      </c>
      <c r="K33" s="100"/>
      <c r="L33" s="155">
        <v>16146</v>
      </c>
      <c r="M33" s="156"/>
      <c r="N33" s="33" t="s">
        <v>58</v>
      </c>
      <c r="O33" s="43">
        <f>L33/O9</f>
        <v>86.128536679042384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L33+'19-05-26'!L34:M35</f>
        <v>356133</v>
      </c>
      <c r="M34" s="132"/>
      <c r="N34" s="33" t="s">
        <v>59</v>
      </c>
      <c r="O34" s="43">
        <f>L34/O10</f>
        <v>41.343049810450225</v>
      </c>
      <c r="Q34" s="64"/>
    </row>
    <row r="35" spans="1:17" ht="43.35" customHeight="1">
      <c r="A35" s="107" t="s">
        <v>60</v>
      </c>
      <c r="B35" s="203" t="s">
        <v>289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2138</v>
      </c>
      <c r="M36" s="45">
        <f>L36+'19-05-26'!M36</f>
        <v>5602</v>
      </c>
      <c r="N36" s="65">
        <f>L36/1000/L9</f>
        <v>1.1120010818345417E-2</v>
      </c>
      <c r="O36" s="66">
        <f>M36/1000/L10</f>
        <v>6.4409587025549865E-4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416</v>
      </c>
      <c r="M37" s="45">
        <f>L37+'19-05-26'!M37</f>
        <v>5368</v>
      </c>
      <c r="N37" s="65">
        <f>L37/1000/L9</f>
        <v>2.1636690834572936E-3</v>
      </c>
      <c r="O37" s="66">
        <f>M37/1000/L10</f>
        <v>6.171914729617131E-4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560</v>
      </c>
      <c r="M38" s="46">
        <f>L38+'19-05-26'!M38</f>
        <v>5523</v>
      </c>
      <c r="N38" s="65">
        <f>L38/1000/L9</f>
        <v>2.9126314585002032E-3</v>
      </c>
      <c r="O38" s="66">
        <f>M38/1000/L10</f>
        <v>6.3501276176742573E-4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3114</v>
      </c>
      <c r="M39" s="132"/>
      <c r="N39" s="30" t="s">
        <v>66</v>
      </c>
      <c r="O39" s="47">
        <f>O9/L9</f>
        <v>0.97502418524336076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L39+'19-05-26'!L40:M40</f>
        <v>16493</v>
      </c>
      <c r="M40" s="132"/>
      <c r="N40" s="30" t="s">
        <v>29</v>
      </c>
      <c r="O40" s="47">
        <f>(O10)/(L10-L22/1000)</f>
        <v>0.99107182406381622</v>
      </c>
      <c r="P40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 t="s">
        <v>288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0</v>
      </c>
      <c r="M42" s="132"/>
      <c r="N42" s="33" t="s">
        <v>69</v>
      </c>
      <c r="O42" s="43">
        <f>L42/O9</f>
        <v>0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L42+'19-05-26'!L43:M43</f>
        <v>860</v>
      </c>
      <c r="M43" s="183"/>
      <c r="N43" s="49" t="s">
        <v>70</v>
      </c>
      <c r="O43" s="50">
        <f>L43/O10</f>
        <v>9.9836361238602414E-2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9.1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L45+'19-05-26'!L46:M46</f>
        <v>208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'!I33-'13-05-26'!I33-'14-05-26'!I33-'15-05-26'!I33-'16-05-26'!I33-'17-05-26'!I33-'18-05-26'!I33-'19-05-26'!I33,1)</f>
        <v>192.1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G52" s="71"/>
      <c r="K52" s="64"/>
    </row>
    <row r="53" spans="1:12">
      <c r="G53" s="71"/>
      <c r="J53" s="64"/>
      <c r="K53" s="64"/>
      <c r="L53" s="64"/>
    </row>
    <row r="54" spans="1:12">
      <c r="G54" s="71"/>
      <c r="J54" s="64"/>
      <c r="K54" s="64"/>
      <c r="L54" s="64"/>
    </row>
    <row r="55" spans="1:12">
      <c r="G55" s="71"/>
      <c r="J55" s="64"/>
      <c r="K55" s="64"/>
      <c r="L55" s="64"/>
    </row>
    <row r="56" spans="1:12">
      <c r="E56" s="62"/>
      <c r="G56" s="71"/>
      <c r="J56" s="64"/>
      <c r="K56" s="64"/>
      <c r="L56" s="64"/>
    </row>
    <row r="57" spans="1:12">
      <c r="G57" s="71"/>
      <c r="J57" s="64"/>
      <c r="K57" s="64"/>
      <c r="L57" s="64"/>
    </row>
    <row r="58" spans="1:12">
      <c r="G58" s="71"/>
      <c r="H58" s="69"/>
      <c r="J58" s="64"/>
      <c r="K58" s="64"/>
      <c r="L58" s="64"/>
    </row>
    <row r="59" spans="1:12">
      <c r="G59" s="71"/>
      <c r="H59" s="64"/>
      <c r="I59" s="64"/>
      <c r="J59" s="64"/>
      <c r="K59" s="64"/>
      <c r="L59" s="64"/>
    </row>
    <row r="60" spans="1:12">
      <c r="G60" s="71"/>
      <c r="H60" s="64"/>
      <c r="I60" s="64"/>
      <c r="J60" s="64"/>
      <c r="K60" s="64"/>
      <c r="L60" s="64"/>
    </row>
    <row r="61" spans="1:12">
      <c r="G61" s="71"/>
      <c r="H61" s="64"/>
      <c r="I61" s="64"/>
      <c r="J61" s="64"/>
      <c r="K61" s="64"/>
      <c r="L61" s="64"/>
    </row>
    <row r="62" spans="1:12">
      <c r="G62" s="71"/>
      <c r="H62" s="64"/>
      <c r="I62" s="64"/>
      <c r="J62" s="64"/>
      <c r="K62" s="64"/>
      <c r="L62" s="64"/>
    </row>
    <row r="63" spans="1:12">
      <c r="G63" s="71"/>
      <c r="H63" s="64"/>
      <c r="I63" s="64"/>
      <c r="J63" s="64"/>
      <c r="K63" s="64"/>
      <c r="L63" s="64"/>
    </row>
    <row r="64" spans="1:12">
      <c r="G64" s="71"/>
      <c r="H64" s="64"/>
      <c r="I64" s="64"/>
      <c r="J64" s="64"/>
      <c r="K64" s="64"/>
      <c r="L64" s="64"/>
    </row>
    <row r="65" spans="7:12">
      <c r="G65" s="71"/>
      <c r="H65" s="64"/>
      <c r="I65" s="64"/>
      <c r="J65" s="64"/>
      <c r="K65" s="64"/>
      <c r="L65" s="64"/>
    </row>
    <row r="66" spans="7:12">
      <c r="G66" s="71"/>
      <c r="H66" s="64"/>
      <c r="I66" s="64"/>
      <c r="J66" s="64"/>
      <c r="K66" s="64"/>
      <c r="L66" s="64"/>
    </row>
    <row r="67" spans="7:12">
      <c r="G67" s="71"/>
      <c r="H67" s="64"/>
      <c r="I67" s="64"/>
      <c r="J67" s="64"/>
      <c r="K67" s="64"/>
      <c r="L67" s="64"/>
    </row>
    <row r="68" spans="7:12">
      <c r="G68" s="71"/>
      <c r="H68" s="64"/>
      <c r="I68" s="64"/>
      <c r="J68" s="64"/>
      <c r="K68" s="64"/>
      <c r="L68" s="64"/>
    </row>
    <row r="69" spans="7:12">
      <c r="G69" s="71"/>
      <c r="H69" s="64"/>
      <c r="I69" s="64"/>
      <c r="J69" s="64"/>
      <c r="K69" s="64"/>
      <c r="L69" s="64"/>
    </row>
    <row r="70" spans="7:12">
      <c r="G70" s="71"/>
      <c r="H70" s="64"/>
      <c r="I70" s="64"/>
      <c r="J70" s="64"/>
      <c r="K70" s="64"/>
      <c r="L70" s="64"/>
    </row>
    <row r="71" spans="7:12">
      <c r="G71" s="71"/>
      <c r="H71" s="64"/>
      <c r="I71" s="64"/>
      <c r="J71" s="64"/>
      <c r="K71" s="64"/>
      <c r="L71" s="64"/>
    </row>
    <row r="72" spans="7:12">
      <c r="G72" s="71"/>
      <c r="H72" s="64"/>
      <c r="I72" s="64"/>
      <c r="J72" s="64"/>
      <c r="K72" s="64"/>
      <c r="L72" s="64"/>
    </row>
    <row r="73" spans="7:12">
      <c r="G73" s="71"/>
      <c r="H73" s="64"/>
      <c r="I73" s="64"/>
      <c r="J73" s="64"/>
      <c r="K73" s="64"/>
      <c r="L73" s="64"/>
    </row>
    <row r="74" spans="7:12">
      <c r="G74" s="71"/>
      <c r="H74" s="64"/>
      <c r="I74" s="64"/>
      <c r="J74" s="64"/>
      <c r="K74" s="64"/>
      <c r="L74" s="64"/>
    </row>
    <row r="75" spans="7:12">
      <c r="G75" s="71"/>
      <c r="H75" s="64"/>
      <c r="I75" s="64"/>
      <c r="J75" s="64"/>
      <c r="K75" s="64"/>
      <c r="L75" s="64"/>
    </row>
    <row r="76" spans="7:12">
      <c r="G76" s="71"/>
      <c r="H76" s="64"/>
      <c r="I76" s="64"/>
      <c r="J76" s="64"/>
      <c r="K76" s="64"/>
      <c r="L76" s="64"/>
    </row>
    <row r="77" spans="7:12">
      <c r="G77" s="71"/>
      <c r="H77" s="64"/>
      <c r="I77" s="64"/>
      <c r="K77" s="64"/>
      <c r="L77" s="64"/>
    </row>
    <row r="78" spans="7:12">
      <c r="G78" s="71"/>
      <c r="H78" s="64"/>
      <c r="I78" s="64"/>
      <c r="K78" s="64"/>
      <c r="L78" s="64"/>
    </row>
    <row r="79" spans="7:12">
      <c r="G79" s="71"/>
      <c r="H79" s="64"/>
      <c r="I79" s="64"/>
      <c r="K79" s="64"/>
      <c r="L79" s="64"/>
    </row>
    <row r="80" spans="7:12">
      <c r="G80" s="71"/>
      <c r="H80" s="64"/>
      <c r="I80" s="64"/>
      <c r="K80" s="64"/>
      <c r="L80" s="64"/>
    </row>
    <row r="81" spans="7:12">
      <c r="G81" s="71"/>
      <c r="H81" s="64"/>
      <c r="I81" s="64"/>
      <c r="K81" s="64"/>
      <c r="L81" s="64"/>
    </row>
    <row r="82" spans="7:12">
      <c r="G82" s="71"/>
      <c r="H82" s="64"/>
      <c r="I82" s="64"/>
      <c r="K82" s="64"/>
      <c r="L82" s="64"/>
    </row>
    <row r="83" spans="7:12">
      <c r="G83" s="71"/>
      <c r="H83" s="64"/>
      <c r="I83" s="64"/>
      <c r="K83" s="64"/>
      <c r="L83" s="64"/>
    </row>
    <row r="84" spans="7:12">
      <c r="G84" s="71"/>
      <c r="H84" s="64"/>
      <c r="I84" s="64"/>
      <c r="K84" s="64"/>
      <c r="L84" s="64"/>
    </row>
    <row r="85" spans="7:12">
      <c r="G85" s="71"/>
      <c r="H85" s="64"/>
      <c r="I85" s="64"/>
      <c r="K85" s="64"/>
      <c r="L85" s="64"/>
    </row>
    <row r="86" spans="7:12">
      <c r="G86" s="71"/>
      <c r="H86" s="64"/>
      <c r="I86" s="64"/>
      <c r="K86" s="64"/>
      <c r="L86" s="64"/>
    </row>
    <row r="87" spans="7:12">
      <c r="G87" s="71"/>
      <c r="H87" s="64"/>
      <c r="I87" s="64"/>
      <c r="K87" s="64"/>
      <c r="L87" s="64"/>
    </row>
    <row r="88" spans="7:12">
      <c r="G88" s="71"/>
      <c r="H88" s="64"/>
      <c r="I88" s="64"/>
      <c r="K88" s="64"/>
      <c r="L88" s="64"/>
    </row>
    <row r="89" spans="7:12">
      <c r="G89" s="71"/>
      <c r="H89" s="64"/>
      <c r="I89" s="64"/>
      <c r="K89" s="64"/>
      <c r="L89" s="64"/>
    </row>
    <row r="90" spans="7:12">
      <c r="G90" s="71"/>
      <c r="H90" s="64"/>
      <c r="K90" s="64"/>
      <c r="L90" s="64"/>
    </row>
    <row r="91" spans="7:12">
      <c r="G91" s="71"/>
      <c r="H91" s="64"/>
      <c r="K91" s="64"/>
      <c r="L91" s="64"/>
    </row>
    <row r="92" spans="7:12">
      <c r="G92" s="71"/>
      <c r="H92" s="64"/>
      <c r="K92" s="64"/>
      <c r="L92" s="64"/>
    </row>
    <row r="93" spans="7:12">
      <c r="G93" s="71"/>
      <c r="H93" s="64"/>
      <c r="K93" s="64"/>
      <c r="L93" s="64"/>
    </row>
    <row r="94" spans="7:12">
      <c r="G94" s="71"/>
      <c r="H94" s="64"/>
      <c r="K94" s="64"/>
      <c r="L94" s="64"/>
    </row>
    <row r="95" spans="7:12">
      <c r="G95" s="71"/>
      <c r="H95" s="64"/>
      <c r="K95" s="64"/>
      <c r="L95" s="64"/>
    </row>
    <row r="96" spans="7:12">
      <c r="G96" s="71"/>
      <c r="H96" s="64"/>
      <c r="K96" s="64"/>
      <c r="L96" s="64"/>
    </row>
    <row r="97" spans="7:12">
      <c r="G97" s="71"/>
      <c r="H97" s="64"/>
      <c r="K97" s="64"/>
      <c r="L97" s="64"/>
    </row>
    <row r="98" spans="7:12">
      <c r="G98" s="71"/>
      <c r="H98" s="64"/>
      <c r="K98" s="64"/>
      <c r="L98" s="64"/>
    </row>
    <row r="99" spans="7:12">
      <c r="G99" s="71"/>
      <c r="H99" s="64"/>
      <c r="K99" s="64"/>
      <c r="L99" s="64"/>
    </row>
    <row r="100" spans="7:12">
      <c r="G100" s="71"/>
      <c r="H100" s="64"/>
      <c r="K100" s="64"/>
      <c r="L100" s="64"/>
    </row>
    <row r="101" spans="7:12">
      <c r="G101" s="71"/>
      <c r="H101" s="64"/>
    </row>
    <row r="102" spans="7:12">
      <c r="G102" s="71"/>
      <c r="H102" s="64"/>
    </row>
    <row r="103" spans="7:12">
      <c r="G103" s="71"/>
      <c r="H103" s="64"/>
    </row>
    <row r="104" spans="7:12">
      <c r="G104" s="71"/>
    </row>
    <row r="105" spans="7:12">
      <c r="G105" s="71"/>
    </row>
    <row r="106" spans="7:12">
      <c r="G106" s="71"/>
    </row>
    <row r="107" spans="7:12">
      <c r="G107" s="71"/>
    </row>
    <row r="108" spans="7:12">
      <c r="G108" s="71"/>
    </row>
    <row r="109" spans="7:12">
      <c r="G109" s="71"/>
    </row>
    <row r="110" spans="7:12">
      <c r="G110" s="71"/>
    </row>
  </sheetData>
  <mergeCells count="123">
    <mergeCell ref="I3:I4"/>
    <mergeCell ref="J3:O4"/>
    <mergeCell ref="J5:M5"/>
    <mergeCell ref="N5:O5"/>
    <mergeCell ref="J6:K6"/>
    <mergeCell ref="L6:M6"/>
    <mergeCell ref="A1:O1"/>
    <mergeCell ref="M2:N2"/>
    <mergeCell ref="A3:A14"/>
    <mergeCell ref="B3:B4"/>
    <mergeCell ref="C3:C4"/>
    <mergeCell ref="D3:D4"/>
    <mergeCell ref="E3:E4"/>
    <mergeCell ref="F3:F4"/>
    <mergeCell ref="G3:G4"/>
    <mergeCell ref="H3:H4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J13:K13"/>
    <mergeCell ref="L13:M13"/>
    <mergeCell ref="J14:O14"/>
    <mergeCell ref="A15:A34"/>
    <mergeCell ref="B15:G16"/>
    <mergeCell ref="J15:K15"/>
    <mergeCell ref="L15:M15"/>
    <mergeCell ref="J16:K16"/>
    <mergeCell ref="L16:M16"/>
    <mergeCell ref="B17:G18"/>
    <mergeCell ref="H17:H18"/>
    <mergeCell ref="I17:I18"/>
    <mergeCell ref="J17:O17"/>
    <mergeCell ref="J18:K18"/>
    <mergeCell ref="L18:M18"/>
    <mergeCell ref="B19:G20"/>
    <mergeCell ref="H19:H20"/>
    <mergeCell ref="I19:I20"/>
    <mergeCell ref="J19:K19"/>
    <mergeCell ref="L19:M19"/>
    <mergeCell ref="B23:G24"/>
    <mergeCell ref="H23:H24"/>
    <mergeCell ref="I23:I24"/>
    <mergeCell ref="J23:M23"/>
    <mergeCell ref="N23:O23"/>
    <mergeCell ref="J24:K24"/>
    <mergeCell ref="L24:M24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7:G28"/>
    <mergeCell ref="H27:H28"/>
    <mergeCell ref="I27:I28"/>
    <mergeCell ref="J27:K27"/>
    <mergeCell ref="L27:M27"/>
    <mergeCell ref="J28:K28"/>
    <mergeCell ref="L28:M28"/>
    <mergeCell ref="B25:G26"/>
    <mergeCell ref="H25:H26"/>
    <mergeCell ref="I25:I26"/>
    <mergeCell ref="J25:K25"/>
    <mergeCell ref="L25:M25"/>
    <mergeCell ref="J26:O26"/>
    <mergeCell ref="L33:M33"/>
    <mergeCell ref="J34:K34"/>
    <mergeCell ref="L34:M34"/>
    <mergeCell ref="J31:K31"/>
    <mergeCell ref="L31:O31"/>
    <mergeCell ref="J32:O32"/>
    <mergeCell ref="B29:G30"/>
    <mergeCell ref="H29:H30"/>
    <mergeCell ref="I29:I30"/>
    <mergeCell ref="J29:O29"/>
    <mergeCell ref="J30:K30"/>
    <mergeCell ref="L30:O30"/>
    <mergeCell ref="J36:K36"/>
    <mergeCell ref="B37:I38"/>
    <mergeCell ref="J37:K37"/>
    <mergeCell ref="J38:K38"/>
    <mergeCell ref="B39:I40"/>
    <mergeCell ref="J39:K39"/>
    <mergeCell ref="B33:G34"/>
    <mergeCell ref="H33:H34"/>
    <mergeCell ref="I33:I34"/>
    <mergeCell ref="J33:K33"/>
    <mergeCell ref="A48:I48"/>
    <mergeCell ref="B31:G31"/>
    <mergeCell ref="B32:G32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  <mergeCell ref="B35:I36"/>
    <mergeCell ref="J35:M35"/>
    <mergeCell ref="N35:O35"/>
  </mergeCells>
  <pageMargins left="0.7" right="0.7" top="0.75" bottom="0.75" header="0.3" footer="0.3"/>
  <pageSetup paperSize="9" scale="26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10"/>
  <sheetViews>
    <sheetView topLeftCell="E19" zoomScale="38" zoomScaleNormal="38" workbookViewId="0">
      <selection activeCell="L19" sqref="L19:M19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0.5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213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214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11">
        <v>138100000619</v>
      </c>
      <c r="D5" s="12" t="s">
        <v>276</v>
      </c>
      <c r="E5" s="13">
        <v>9298</v>
      </c>
      <c r="F5" s="12">
        <v>2</v>
      </c>
      <c r="G5" s="12" t="s">
        <v>277</v>
      </c>
      <c r="H5" s="19">
        <v>9048</v>
      </c>
      <c r="I5" s="16">
        <v>2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11">
        <v>138100000620</v>
      </c>
      <c r="D6" s="18" t="s">
        <v>276</v>
      </c>
      <c r="E6" s="19">
        <v>18721</v>
      </c>
      <c r="F6" s="12">
        <v>4</v>
      </c>
      <c r="G6" s="12" t="s">
        <v>290</v>
      </c>
      <c r="H6" s="19">
        <v>18548</v>
      </c>
      <c r="I6" s="14">
        <v>4</v>
      </c>
      <c r="J6" s="99" t="s">
        <v>16</v>
      </c>
      <c r="K6" s="100"/>
      <c r="L6" s="101">
        <v>47.51</v>
      </c>
      <c r="M6" s="102"/>
      <c r="N6" s="20" t="s">
        <v>17</v>
      </c>
      <c r="O6" s="21">
        <f>(O9-L6)/O9</f>
        <v>0.8090695001486935</v>
      </c>
      <c r="Q6" s="22"/>
    </row>
    <row r="7" spans="1:17" ht="64.349999999999994" customHeight="1">
      <c r="A7" s="108"/>
      <c r="B7" s="10">
        <v>3</v>
      </c>
      <c r="C7" s="11">
        <v>138100000621</v>
      </c>
      <c r="D7" s="18" t="s">
        <v>292</v>
      </c>
      <c r="E7" s="19">
        <v>23430</v>
      </c>
      <c r="F7" s="12">
        <v>5</v>
      </c>
      <c r="G7" s="12" t="s">
        <v>291</v>
      </c>
      <c r="H7" s="19">
        <v>23226</v>
      </c>
      <c r="I7" s="14">
        <v>5</v>
      </c>
      <c r="J7" s="99" t="s">
        <v>18</v>
      </c>
      <c r="K7" s="100"/>
      <c r="L7" s="101">
        <f>L6+'20-05-26'!L7:M7</f>
        <v>391.53399999999999</v>
      </c>
      <c r="M7" s="102"/>
      <c r="N7" s="26" t="s">
        <v>19</v>
      </c>
      <c r="O7" s="27">
        <f>(O10-L7)/O10</f>
        <v>0.95582341279915339</v>
      </c>
    </row>
    <row r="8" spans="1:17" ht="64.349999999999994" customHeight="1">
      <c r="A8" s="108"/>
      <c r="B8" s="17">
        <v>4</v>
      </c>
      <c r="C8" s="11">
        <v>138100000622</v>
      </c>
      <c r="D8" s="18" t="s">
        <v>294</v>
      </c>
      <c r="E8" s="15">
        <v>13924</v>
      </c>
      <c r="F8" s="12">
        <v>3</v>
      </c>
      <c r="G8" s="12" t="s">
        <v>293</v>
      </c>
      <c r="H8" s="19">
        <v>13576</v>
      </c>
      <c r="I8" s="14">
        <v>3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>
        <v>5</v>
      </c>
      <c r="C9" s="11">
        <v>138100000626</v>
      </c>
      <c r="D9" s="18" t="s">
        <v>296</v>
      </c>
      <c r="E9" s="19">
        <v>4758</v>
      </c>
      <c r="F9" s="18">
        <v>1</v>
      </c>
      <c r="G9" s="12" t="s">
        <v>295</v>
      </c>
      <c r="H9" s="28">
        <v>4722</v>
      </c>
      <c r="I9" s="16">
        <v>1</v>
      </c>
      <c r="J9" s="99" t="s">
        <v>22</v>
      </c>
      <c r="K9" s="100"/>
      <c r="L9" s="101">
        <v>253.654</v>
      </c>
      <c r="M9" s="102"/>
      <c r="N9" s="30" t="s">
        <v>22</v>
      </c>
      <c r="O9" s="31">
        <v>248.834</v>
      </c>
      <c r="Q9" s="32"/>
    </row>
    <row r="10" spans="1:17" ht="64.349999999999994" customHeight="1">
      <c r="A10" s="108"/>
      <c r="B10" s="17">
        <v>6</v>
      </c>
      <c r="C10" s="11">
        <v>138100000627</v>
      </c>
      <c r="D10" s="18" t="s">
        <v>298</v>
      </c>
      <c r="E10" s="28">
        <v>50023</v>
      </c>
      <c r="F10" s="12">
        <v>11</v>
      </c>
      <c r="G10" s="18" t="s">
        <v>297</v>
      </c>
      <c r="H10" s="28">
        <v>48310</v>
      </c>
      <c r="I10" s="14">
        <v>11</v>
      </c>
      <c r="J10" s="99" t="s">
        <v>23</v>
      </c>
      <c r="K10" s="100"/>
      <c r="L10" s="101">
        <f>L9+'20-05-26'!L10:M10</f>
        <v>8951.1170000000002</v>
      </c>
      <c r="M10" s="102"/>
      <c r="N10" s="30" t="s">
        <v>23</v>
      </c>
      <c r="O10" s="70">
        <f>O9+'20-05-26'!O10</f>
        <v>8862.93</v>
      </c>
    </row>
    <row r="11" spans="1:17" ht="64.349999999999994" customHeight="1">
      <c r="A11" s="108"/>
      <c r="B11" s="10">
        <v>7</v>
      </c>
      <c r="C11" s="11">
        <v>138100000623</v>
      </c>
      <c r="D11" s="18" t="s">
        <v>300</v>
      </c>
      <c r="E11" s="13">
        <v>22727</v>
      </c>
      <c r="F11" s="12">
        <v>5</v>
      </c>
      <c r="G11" s="12" t="s">
        <v>299</v>
      </c>
      <c r="H11" s="13">
        <v>22360</v>
      </c>
      <c r="I11" s="14">
        <v>5</v>
      </c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>
        <v>8</v>
      </c>
      <c r="C12" s="11">
        <v>138100000628</v>
      </c>
      <c r="D12" s="12" t="s">
        <v>302</v>
      </c>
      <c r="E12" s="13">
        <v>18182</v>
      </c>
      <c r="F12" s="12">
        <v>4</v>
      </c>
      <c r="G12" s="12" t="s">
        <v>301</v>
      </c>
      <c r="H12" s="13">
        <v>17792</v>
      </c>
      <c r="I12" s="14">
        <v>4</v>
      </c>
      <c r="J12" s="99" t="s">
        <v>26</v>
      </c>
      <c r="K12" s="100"/>
      <c r="L12" s="119">
        <f>O9/(11-I33)</f>
        <v>25.134747474747474</v>
      </c>
      <c r="M12" s="120"/>
      <c r="N12" s="33" t="s">
        <v>27</v>
      </c>
      <c r="O12" s="27">
        <f>(11-I33)/11</f>
        <v>0.9</v>
      </c>
      <c r="Q12" s="64"/>
    </row>
    <row r="13" spans="1:17" ht="64.349999999999994" customHeight="1">
      <c r="A13" s="108"/>
      <c r="B13" s="10">
        <v>9</v>
      </c>
      <c r="C13" s="11">
        <v>138100000629</v>
      </c>
      <c r="D13" s="12" t="s">
        <v>303</v>
      </c>
      <c r="E13" s="13">
        <v>9196</v>
      </c>
      <c r="F13" s="12">
        <v>2</v>
      </c>
      <c r="G13" s="12" t="s">
        <v>304</v>
      </c>
      <c r="H13" s="13">
        <v>9050</v>
      </c>
      <c r="I13" s="78">
        <v>2</v>
      </c>
      <c r="J13" s="99" t="s">
        <v>28</v>
      </c>
      <c r="K13" s="100"/>
      <c r="L13" s="119">
        <f>O10/O46</f>
        <v>43.875891089108912</v>
      </c>
      <c r="M13" s="120"/>
      <c r="N13" s="33" t="s">
        <v>29</v>
      </c>
      <c r="O13" s="27">
        <f>O46/L46</f>
        <v>0.92237442922374424</v>
      </c>
      <c r="Q13" s="64"/>
    </row>
    <row r="14" spans="1:17" ht="64.349999999999994" customHeight="1">
      <c r="A14" s="108"/>
      <c r="B14" s="17">
        <v>10</v>
      </c>
      <c r="C14" s="11">
        <v>138100000630</v>
      </c>
      <c r="D14" s="12" t="s">
        <v>306</v>
      </c>
      <c r="E14" s="13">
        <v>37677</v>
      </c>
      <c r="F14" s="12">
        <v>9</v>
      </c>
      <c r="G14" s="14" t="s">
        <v>305</v>
      </c>
      <c r="H14" s="13">
        <v>37288</v>
      </c>
      <c r="I14" s="14">
        <v>9</v>
      </c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8"/>
      <c r="B15" s="17">
        <v>11</v>
      </c>
      <c r="C15" s="80">
        <v>138100000631</v>
      </c>
      <c r="D15" s="12" t="s">
        <v>315</v>
      </c>
      <c r="E15" s="13">
        <v>37407</v>
      </c>
      <c r="F15" s="12">
        <v>9</v>
      </c>
      <c r="G15" s="14" t="s">
        <v>314</v>
      </c>
      <c r="H15" s="13">
        <v>36816</v>
      </c>
      <c r="I15" s="14">
        <v>9</v>
      </c>
      <c r="J15" s="99" t="s">
        <v>34</v>
      </c>
      <c r="K15" s="100"/>
      <c r="L15" s="131">
        <v>3207</v>
      </c>
      <c r="M15" s="132"/>
      <c r="N15" s="33" t="s">
        <v>35</v>
      </c>
      <c r="O15" s="36">
        <f>L15/L9</f>
        <v>12.643206888123192</v>
      </c>
      <c r="Q15" s="64"/>
    </row>
    <row r="16" spans="1:17" ht="58.8" customHeight="1" thickBot="1">
      <c r="A16" s="109"/>
      <c r="B16" s="17">
        <v>12</v>
      </c>
      <c r="C16" s="80">
        <v>138100000632</v>
      </c>
      <c r="D16" s="12" t="s">
        <v>315</v>
      </c>
      <c r="E16" s="13">
        <v>8311</v>
      </c>
      <c r="F16" s="12">
        <v>2</v>
      </c>
      <c r="G16" s="14" t="s">
        <v>317</v>
      </c>
      <c r="H16" s="13">
        <v>8098</v>
      </c>
      <c r="I16" s="12">
        <v>2</v>
      </c>
      <c r="J16" s="99" t="s">
        <v>36</v>
      </c>
      <c r="K16" s="100"/>
      <c r="L16" s="131">
        <f>L15+'20-05-26'!L16:M16</f>
        <v>66404</v>
      </c>
      <c r="M16" s="132"/>
      <c r="N16" s="33" t="s">
        <v>37</v>
      </c>
      <c r="O16" s="36">
        <f>L16/L10</f>
        <v>7.4185154768952302</v>
      </c>
      <c r="Q16" s="64"/>
    </row>
    <row r="17" spans="1:17" ht="58.8" customHeight="1">
      <c r="A17" s="107" t="s">
        <v>31</v>
      </c>
      <c r="B17" s="200" t="s">
        <v>307</v>
      </c>
      <c r="C17" s="218"/>
      <c r="D17" s="218"/>
      <c r="E17" s="218"/>
      <c r="F17" s="218"/>
      <c r="G17" s="219"/>
      <c r="H17" s="79" t="s">
        <v>32</v>
      </c>
      <c r="I17" s="77" t="s">
        <v>33</v>
      </c>
      <c r="J17" s="136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200"/>
      <c r="C18" s="218"/>
      <c r="D18" s="218"/>
      <c r="E18" s="218"/>
      <c r="F18" s="218"/>
      <c r="G18" s="218"/>
      <c r="H18" s="34">
        <v>5</v>
      </c>
      <c r="I18" s="35">
        <f>ROUND(H18/60,1)</f>
        <v>0.1</v>
      </c>
      <c r="J18" s="215" t="s">
        <v>39</v>
      </c>
      <c r="K18" s="100"/>
      <c r="L18" s="131">
        <v>6</v>
      </c>
      <c r="M18" s="132"/>
      <c r="N18" s="33" t="s">
        <v>40</v>
      </c>
      <c r="O18" s="37">
        <f>L18/L9</f>
        <v>2.3654269201353023E-2</v>
      </c>
      <c r="Q18" s="64"/>
    </row>
    <row r="19" spans="1:17" ht="58.8" customHeight="1">
      <c r="A19" s="108"/>
      <c r="B19" s="127" t="s">
        <v>308</v>
      </c>
      <c r="C19" s="127"/>
      <c r="D19" s="127"/>
      <c r="E19" s="127"/>
      <c r="F19" s="127"/>
      <c r="G19" s="128"/>
      <c r="H19" s="216">
        <v>9</v>
      </c>
      <c r="I19" s="133">
        <f t="shared" ref="I19:I31" si="0">ROUND(H19/60,1)</f>
        <v>0.2</v>
      </c>
      <c r="J19" s="99" t="s">
        <v>41</v>
      </c>
      <c r="K19" s="100"/>
      <c r="L19" s="131">
        <f>L18+'20-05-26'!L19:M19</f>
        <v>177</v>
      </c>
      <c r="M19" s="132"/>
      <c r="N19" s="33" t="s">
        <v>42</v>
      </c>
      <c r="O19" s="38">
        <f>L19/L10</f>
        <v>1.9774068420734529E-2</v>
      </c>
      <c r="Q19" s="64"/>
    </row>
    <row r="20" spans="1:17" ht="58.8" customHeight="1">
      <c r="A20" s="108"/>
      <c r="B20" s="129"/>
      <c r="C20" s="129"/>
      <c r="D20" s="129"/>
      <c r="E20" s="129"/>
      <c r="F20" s="129"/>
      <c r="G20" s="130"/>
      <c r="H20" s="217"/>
      <c r="I20" s="134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127" t="s">
        <v>309</v>
      </c>
      <c r="C21" s="127"/>
      <c r="D21" s="127"/>
      <c r="E21" s="127"/>
      <c r="F21" s="127"/>
      <c r="G21" s="128"/>
      <c r="H21" s="133">
        <v>6</v>
      </c>
      <c r="I21" s="133">
        <f t="shared" si="0"/>
        <v>0.1</v>
      </c>
      <c r="J21" s="99" t="s">
        <v>45</v>
      </c>
      <c r="K21" s="100"/>
      <c r="L21" s="131">
        <v>220</v>
      </c>
      <c r="M21" s="132"/>
      <c r="N21" s="30" t="s">
        <v>45</v>
      </c>
      <c r="O21" s="39">
        <v>216</v>
      </c>
      <c r="Q21" s="64"/>
    </row>
    <row r="22" spans="1:17" ht="58.8" customHeight="1">
      <c r="A22" s="108"/>
      <c r="B22" s="129"/>
      <c r="C22" s="129"/>
      <c r="D22" s="129"/>
      <c r="E22" s="129"/>
      <c r="F22" s="129"/>
      <c r="G22" s="130"/>
      <c r="H22" s="134"/>
      <c r="I22" s="134"/>
      <c r="J22" s="99" t="s">
        <v>46</v>
      </c>
      <c r="K22" s="100"/>
      <c r="L22" s="131">
        <f>L21+'20-05-26'!L22:M22</f>
        <v>5986</v>
      </c>
      <c r="M22" s="132"/>
      <c r="N22" s="30" t="s">
        <v>46</v>
      </c>
      <c r="O22" s="39">
        <f>O21+'20-05-26'!O22</f>
        <v>7186</v>
      </c>
      <c r="Q22" s="64"/>
    </row>
    <row r="23" spans="1:17" ht="58.8" customHeight="1">
      <c r="A23" s="108"/>
      <c r="B23" s="127" t="s">
        <v>310</v>
      </c>
      <c r="C23" s="127"/>
      <c r="D23" s="127"/>
      <c r="E23" s="127"/>
      <c r="F23" s="127"/>
      <c r="G23" s="128"/>
      <c r="H23" s="133">
        <v>17</v>
      </c>
      <c r="I23" s="133">
        <f t="shared" si="0"/>
        <v>0.3</v>
      </c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156</v>
      </c>
      <c r="M24" s="132"/>
      <c r="N24" s="30" t="s">
        <v>45</v>
      </c>
      <c r="O24" s="40"/>
      <c r="Q24" s="64"/>
    </row>
    <row r="25" spans="1:17" ht="58.8" customHeight="1">
      <c r="A25" s="108"/>
      <c r="B25" s="127" t="s">
        <v>311</v>
      </c>
      <c r="C25" s="127"/>
      <c r="D25" s="127"/>
      <c r="E25" s="127"/>
      <c r="F25" s="127"/>
      <c r="G25" s="128"/>
      <c r="H25" s="133">
        <v>6</v>
      </c>
      <c r="I25" s="133">
        <f t="shared" si="0"/>
        <v>0.1</v>
      </c>
      <c r="J25" s="99" t="s">
        <v>46</v>
      </c>
      <c r="K25" s="100"/>
      <c r="L25" s="131">
        <f>L24+'20-05-26'!L25:M25</f>
        <v>3753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 t="s">
        <v>312</v>
      </c>
      <c r="C27" s="148"/>
      <c r="D27" s="148"/>
      <c r="E27" s="148"/>
      <c r="F27" s="148"/>
      <c r="G27" s="149"/>
      <c r="H27" s="133">
        <v>4</v>
      </c>
      <c r="I27" s="133">
        <f>ROUND(H27/60,1)</f>
        <v>0.1</v>
      </c>
      <c r="J27" s="153" t="s">
        <v>50</v>
      </c>
      <c r="K27" s="154"/>
      <c r="L27" s="155">
        <v>1280</v>
      </c>
      <c r="M27" s="156"/>
      <c r="N27" s="41" t="s">
        <v>51</v>
      </c>
      <c r="O27" s="42">
        <f>L27/L9</f>
        <v>5.0462440962886452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L27+'20-05-26'!L28:M28</f>
        <v>28633</v>
      </c>
      <c r="M28" s="156"/>
      <c r="N28" s="41" t="s">
        <v>53</v>
      </c>
      <c r="O28" s="42">
        <f>L28/L10</f>
        <v>3.198818650231027</v>
      </c>
      <c r="Q28" s="64"/>
    </row>
    <row r="29" spans="1:17" ht="58.8" customHeight="1">
      <c r="A29" s="108"/>
      <c r="B29" s="127" t="s">
        <v>313</v>
      </c>
      <c r="C29" s="148"/>
      <c r="D29" s="148"/>
      <c r="E29" s="148"/>
      <c r="F29" s="148"/>
      <c r="G29" s="149"/>
      <c r="H29" s="133">
        <v>5</v>
      </c>
      <c r="I29" s="133">
        <f t="shared" si="0"/>
        <v>0.1</v>
      </c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18</v>
      </c>
      <c r="M30" s="166"/>
      <c r="N30" s="166"/>
      <c r="O30" s="167"/>
      <c r="Q30" s="64"/>
    </row>
    <row r="31" spans="1:17" ht="58.8" customHeight="1">
      <c r="A31" s="108"/>
      <c r="B31" s="148" t="s">
        <v>316</v>
      </c>
      <c r="C31" s="148"/>
      <c r="D31" s="148"/>
      <c r="E31" s="148"/>
      <c r="F31" s="148"/>
      <c r="G31" s="149"/>
      <c r="H31" s="133">
        <v>5</v>
      </c>
      <c r="I31" s="133">
        <f t="shared" si="0"/>
        <v>0.1</v>
      </c>
      <c r="J31" s="153" t="s">
        <v>56</v>
      </c>
      <c r="K31" s="154"/>
      <c r="L31" s="155">
        <f>L30+'20-05-26'!L31:O31</f>
        <v>531</v>
      </c>
      <c r="M31" s="166"/>
      <c r="N31" s="166"/>
      <c r="O31" s="167"/>
      <c r="Q31" s="64"/>
    </row>
    <row r="32" spans="1:17" ht="58.8" customHeight="1">
      <c r="A32" s="108"/>
      <c r="B32" s="151"/>
      <c r="C32" s="151"/>
      <c r="D32" s="151"/>
      <c r="E32" s="151"/>
      <c r="F32" s="151"/>
      <c r="G32" s="152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ROUND(I18+I19+I21+I23+I25+I27+I29+I31,1)</f>
        <v>1.1000000000000001</v>
      </c>
      <c r="J33" s="99" t="s">
        <v>34</v>
      </c>
      <c r="K33" s="100"/>
      <c r="L33" s="155">
        <v>22669</v>
      </c>
      <c r="M33" s="156"/>
      <c r="N33" s="33" t="s">
        <v>58</v>
      </c>
      <c r="O33" s="43">
        <f>L33/O9</f>
        <v>91.100894572285142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L33+'20-05-26'!L34:M35</f>
        <v>378802</v>
      </c>
      <c r="M34" s="132"/>
      <c r="N34" s="33" t="s">
        <v>59</v>
      </c>
      <c r="O34" s="43">
        <f>L34/O10</f>
        <v>42.740041950009761</v>
      </c>
      <c r="Q34" s="64"/>
    </row>
    <row r="35" spans="1:17" ht="43.35" customHeight="1">
      <c r="A35" s="107" t="s">
        <v>60</v>
      </c>
      <c r="B35" s="203" t="s">
        <v>318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2088</v>
      </c>
      <c r="M36" s="45">
        <f>L36+'20-05-26'!M36</f>
        <v>7690</v>
      </c>
      <c r="N36" s="65">
        <f>L36/1000/L9</f>
        <v>8.2316856820708537E-3</v>
      </c>
      <c r="O36" s="66">
        <f>M36/1000/L10</f>
        <v>8.5911065624547198E-4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165</v>
      </c>
      <c r="M37" s="45">
        <f>L37+'20-05-26'!M37</f>
        <v>5533</v>
      </c>
      <c r="N37" s="65">
        <f>L37/1000/L9</f>
        <v>6.5049240303720823E-4</v>
      </c>
      <c r="O37" s="66">
        <f>M37/1000/L10</f>
        <v>6.1813514447414783E-4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245</v>
      </c>
      <c r="M38" s="46">
        <f>L38+'20-05-26'!M38</f>
        <v>5768</v>
      </c>
      <c r="N38" s="65">
        <f>L38/1000/L9</f>
        <v>9.6588265905524846E-4</v>
      </c>
      <c r="O38" s="66">
        <f>M38/1000/L10</f>
        <v>6.4438885113444501E-4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2498</v>
      </c>
      <c r="M39" s="132"/>
      <c r="N39" s="30" t="s">
        <v>66</v>
      </c>
      <c r="O39" s="47">
        <f>O9/L9</f>
        <v>0.98099773707491311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L39+'20-05-26'!L40:M40</f>
        <v>18991</v>
      </c>
      <c r="M40" s="132"/>
      <c r="N40" s="30" t="s">
        <v>29</v>
      </c>
      <c r="O40" s="47">
        <f>(O10)/(L10-L22/1000)</f>
        <v>0.99081053145001463</v>
      </c>
      <c r="P40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 t="s">
        <v>319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120</v>
      </c>
      <c r="M42" s="132"/>
      <c r="N42" s="33" t="s">
        <v>69</v>
      </c>
      <c r="O42" s="43">
        <f>L42/O9</f>
        <v>0.48224921031691809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L42+'20-05-26'!L43:M43</f>
        <v>980</v>
      </c>
      <c r="M43" s="183"/>
      <c r="N43" s="49" t="s">
        <v>70</v>
      </c>
      <c r="O43" s="50">
        <f>L43/O10</f>
        <v>0.11057291437481735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11</v>
      </c>
      <c r="M45" s="132"/>
      <c r="N45" s="30" t="s">
        <v>73</v>
      </c>
      <c r="O45" s="39">
        <f>11-I33</f>
        <v>9.9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L45+'20-05-26'!L46:M46</f>
        <v>219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'!I33-'13-05-26'!I33-'14-05-26'!I33-'15-05-26'!I33-'16-05-26'!I33-'17-05-26'!I33-'18-05-26'!I33-'19-05-26'!I33-'20-05-26'!I33,1)</f>
        <v>202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G52" s="71"/>
      <c r="K52" s="64"/>
    </row>
    <row r="53" spans="1:12">
      <c r="G53" s="71"/>
      <c r="J53" s="64"/>
      <c r="K53" s="64"/>
      <c r="L53" s="64"/>
    </row>
    <row r="54" spans="1:12">
      <c r="G54" s="71"/>
      <c r="J54" s="64"/>
      <c r="K54" s="64"/>
      <c r="L54" s="64"/>
    </row>
    <row r="55" spans="1:12">
      <c r="G55" s="71"/>
      <c r="J55" s="64"/>
      <c r="K55" s="64"/>
      <c r="L55" s="64"/>
    </row>
    <row r="56" spans="1:12">
      <c r="E56" s="62"/>
      <c r="G56" s="71"/>
      <c r="J56" s="64"/>
      <c r="K56" s="64"/>
      <c r="L56" s="64"/>
    </row>
    <row r="57" spans="1:12">
      <c r="G57" s="71"/>
      <c r="J57" s="64"/>
      <c r="K57" s="64"/>
      <c r="L57" s="64"/>
    </row>
    <row r="58" spans="1:12">
      <c r="G58" s="71"/>
      <c r="H58" s="69"/>
      <c r="J58" s="64"/>
      <c r="K58" s="64"/>
      <c r="L58" s="64"/>
    </row>
    <row r="59" spans="1:12">
      <c r="G59" s="71"/>
      <c r="H59" s="64"/>
      <c r="I59" s="64"/>
      <c r="J59" s="64"/>
      <c r="K59" s="64"/>
      <c r="L59" s="64"/>
    </row>
    <row r="60" spans="1:12">
      <c r="G60" s="71"/>
      <c r="H60" s="64"/>
      <c r="I60" s="64"/>
      <c r="J60" s="64"/>
      <c r="K60" s="64"/>
      <c r="L60" s="64"/>
    </row>
    <row r="61" spans="1:12">
      <c r="G61" s="71"/>
      <c r="H61" s="64"/>
      <c r="I61" s="64"/>
      <c r="J61" s="64"/>
      <c r="K61" s="64"/>
      <c r="L61" s="64"/>
    </row>
    <row r="62" spans="1:12">
      <c r="G62" s="71"/>
      <c r="H62" s="64"/>
      <c r="I62" s="64"/>
      <c r="J62" s="64"/>
      <c r="K62" s="64"/>
      <c r="L62" s="64"/>
    </row>
    <row r="63" spans="1:12">
      <c r="G63" s="71"/>
      <c r="H63" s="64"/>
      <c r="I63" s="64"/>
      <c r="J63" s="64"/>
      <c r="K63" s="64"/>
      <c r="L63" s="64"/>
    </row>
    <row r="64" spans="1:12">
      <c r="G64" s="71"/>
      <c r="H64" s="64"/>
      <c r="I64" s="64"/>
      <c r="J64" s="64"/>
      <c r="K64" s="64"/>
      <c r="L64" s="64"/>
    </row>
    <row r="65" spans="7:12">
      <c r="G65" s="71"/>
      <c r="H65" s="64"/>
      <c r="I65" s="64"/>
      <c r="J65" s="64"/>
      <c r="K65" s="64"/>
      <c r="L65" s="64"/>
    </row>
    <row r="66" spans="7:12">
      <c r="G66" s="71"/>
      <c r="H66" s="64"/>
      <c r="I66" s="64"/>
      <c r="J66" s="64"/>
      <c r="K66" s="64"/>
      <c r="L66" s="64"/>
    </row>
    <row r="67" spans="7:12">
      <c r="G67" s="71"/>
      <c r="H67" s="64"/>
      <c r="I67" s="64"/>
      <c r="J67" s="64"/>
      <c r="K67" s="64"/>
      <c r="L67" s="64"/>
    </row>
    <row r="68" spans="7:12">
      <c r="G68" s="71"/>
      <c r="H68" s="64"/>
      <c r="I68" s="64"/>
      <c r="J68" s="64"/>
      <c r="K68" s="64"/>
      <c r="L68" s="64"/>
    </row>
    <row r="69" spans="7:12">
      <c r="G69" s="71"/>
      <c r="H69" s="64"/>
      <c r="I69" s="64"/>
      <c r="J69" s="64"/>
      <c r="K69" s="64"/>
      <c r="L69" s="64"/>
    </row>
    <row r="70" spans="7:12">
      <c r="G70" s="71"/>
      <c r="H70" s="64"/>
      <c r="I70" s="64"/>
      <c r="J70" s="64"/>
      <c r="K70" s="64"/>
      <c r="L70" s="64"/>
    </row>
    <row r="71" spans="7:12">
      <c r="G71" s="71"/>
      <c r="H71" s="64"/>
      <c r="I71" s="64"/>
      <c r="J71" s="64"/>
      <c r="K71" s="64"/>
      <c r="L71" s="64"/>
    </row>
    <row r="72" spans="7:12">
      <c r="G72" s="71"/>
      <c r="H72" s="64"/>
      <c r="I72" s="64"/>
      <c r="J72" s="64"/>
      <c r="K72" s="64"/>
      <c r="L72" s="64"/>
    </row>
    <row r="73" spans="7:12">
      <c r="G73" s="71"/>
      <c r="H73" s="64"/>
      <c r="I73" s="64"/>
      <c r="J73" s="64"/>
      <c r="K73" s="64"/>
      <c r="L73" s="64"/>
    </row>
    <row r="74" spans="7:12">
      <c r="G74" s="71"/>
      <c r="H74" s="64"/>
      <c r="I74" s="64"/>
      <c r="J74" s="64"/>
      <c r="K74" s="64"/>
      <c r="L74" s="64"/>
    </row>
    <row r="75" spans="7:12">
      <c r="G75" s="71"/>
      <c r="H75" s="64"/>
      <c r="I75" s="64"/>
      <c r="J75" s="64"/>
      <c r="K75" s="64"/>
      <c r="L75" s="64"/>
    </row>
    <row r="76" spans="7:12">
      <c r="G76" s="71"/>
      <c r="H76" s="64"/>
      <c r="I76" s="64"/>
      <c r="J76" s="64"/>
      <c r="K76" s="64"/>
      <c r="L76" s="64"/>
    </row>
    <row r="77" spans="7:12">
      <c r="G77" s="71"/>
      <c r="H77" s="64"/>
      <c r="I77" s="64"/>
      <c r="K77" s="64"/>
      <c r="L77" s="64"/>
    </row>
    <row r="78" spans="7:12">
      <c r="G78" s="71"/>
      <c r="H78" s="64"/>
      <c r="I78" s="64"/>
      <c r="K78" s="64"/>
      <c r="L78" s="64"/>
    </row>
    <row r="79" spans="7:12">
      <c r="G79" s="71"/>
      <c r="H79" s="64"/>
      <c r="I79" s="64"/>
      <c r="K79" s="64"/>
      <c r="L79" s="64"/>
    </row>
    <row r="80" spans="7:12">
      <c r="G80" s="71"/>
      <c r="H80" s="64"/>
      <c r="I80" s="64"/>
      <c r="K80" s="64"/>
      <c r="L80" s="64"/>
    </row>
    <row r="81" spans="7:12">
      <c r="G81" s="71"/>
      <c r="H81" s="64"/>
      <c r="I81" s="64"/>
      <c r="K81" s="64"/>
      <c r="L81" s="64"/>
    </row>
    <row r="82" spans="7:12">
      <c r="G82" s="71"/>
      <c r="H82" s="64"/>
      <c r="I82" s="64"/>
      <c r="K82" s="64"/>
      <c r="L82" s="64"/>
    </row>
    <row r="83" spans="7:12">
      <c r="G83" s="71"/>
      <c r="H83" s="64"/>
      <c r="I83" s="64"/>
      <c r="K83" s="64"/>
      <c r="L83" s="64"/>
    </row>
    <row r="84" spans="7:12">
      <c r="G84" s="71"/>
      <c r="H84" s="64"/>
      <c r="I84" s="64"/>
      <c r="K84" s="64"/>
      <c r="L84" s="64"/>
    </row>
    <row r="85" spans="7:12">
      <c r="G85" s="71"/>
      <c r="H85" s="64"/>
      <c r="I85" s="64"/>
      <c r="K85" s="64"/>
      <c r="L85" s="64"/>
    </row>
    <row r="86" spans="7:12">
      <c r="G86" s="71"/>
      <c r="H86" s="64"/>
      <c r="I86" s="64"/>
      <c r="K86" s="64"/>
      <c r="L86" s="64"/>
    </row>
    <row r="87" spans="7:12">
      <c r="G87" s="71"/>
      <c r="H87" s="64"/>
      <c r="I87" s="64"/>
      <c r="K87" s="64"/>
      <c r="L87" s="64"/>
    </row>
    <row r="88" spans="7:12">
      <c r="G88" s="71"/>
      <c r="H88" s="64"/>
      <c r="I88" s="64"/>
      <c r="K88" s="64"/>
      <c r="L88" s="64"/>
    </row>
    <row r="89" spans="7:12">
      <c r="G89" s="71"/>
      <c r="H89" s="64"/>
      <c r="I89" s="64"/>
      <c r="K89" s="64"/>
      <c r="L89" s="64"/>
    </row>
    <row r="90" spans="7:12">
      <c r="G90" s="71"/>
      <c r="H90" s="64"/>
      <c r="K90" s="64"/>
      <c r="L90" s="64"/>
    </row>
    <row r="91" spans="7:12">
      <c r="G91" s="71"/>
      <c r="H91" s="64"/>
      <c r="K91" s="64"/>
      <c r="L91" s="64"/>
    </row>
    <row r="92" spans="7:12">
      <c r="G92" s="71"/>
      <c r="H92" s="64"/>
      <c r="K92" s="64"/>
      <c r="L92" s="64"/>
    </row>
    <row r="93" spans="7:12">
      <c r="G93" s="71"/>
      <c r="H93" s="64"/>
      <c r="K93" s="64"/>
      <c r="L93" s="64"/>
    </row>
    <row r="94" spans="7:12">
      <c r="G94" s="71"/>
      <c r="H94" s="64"/>
      <c r="K94" s="64"/>
      <c r="L94" s="64"/>
    </row>
    <row r="95" spans="7:12">
      <c r="G95" s="71"/>
      <c r="H95" s="64"/>
      <c r="K95" s="64"/>
      <c r="L95" s="64"/>
    </row>
    <row r="96" spans="7:12">
      <c r="G96" s="71"/>
      <c r="H96" s="64"/>
      <c r="K96" s="64"/>
      <c r="L96" s="64"/>
    </row>
    <row r="97" spans="7:12">
      <c r="G97" s="71"/>
      <c r="H97" s="64"/>
      <c r="K97" s="64"/>
      <c r="L97" s="64"/>
    </row>
    <row r="98" spans="7:12">
      <c r="G98" s="71"/>
      <c r="H98" s="64"/>
      <c r="K98" s="64"/>
      <c r="L98" s="64"/>
    </row>
    <row r="99" spans="7:12">
      <c r="G99" s="71"/>
      <c r="H99" s="64"/>
      <c r="K99" s="64"/>
      <c r="L99" s="64"/>
    </row>
    <row r="100" spans="7:12">
      <c r="G100" s="71"/>
      <c r="H100" s="64"/>
      <c r="K100" s="64"/>
      <c r="L100" s="64"/>
    </row>
    <row r="101" spans="7:12">
      <c r="G101" s="71"/>
      <c r="H101" s="64"/>
    </row>
    <row r="102" spans="7:12">
      <c r="G102" s="71"/>
      <c r="H102" s="64"/>
    </row>
    <row r="103" spans="7:12">
      <c r="G103" s="71"/>
      <c r="H103" s="64"/>
    </row>
    <row r="104" spans="7:12">
      <c r="G104" s="71"/>
    </row>
    <row r="105" spans="7:12">
      <c r="G105" s="71"/>
    </row>
    <row r="106" spans="7:12">
      <c r="G106" s="71"/>
    </row>
    <row r="107" spans="7:12">
      <c r="G107" s="71"/>
    </row>
    <row r="108" spans="7:12">
      <c r="G108" s="71"/>
    </row>
    <row r="109" spans="7:12">
      <c r="G109" s="71"/>
    </row>
    <row r="110" spans="7:12">
      <c r="G110" s="71"/>
    </row>
  </sheetData>
  <mergeCells count="121">
    <mergeCell ref="J45:K45"/>
    <mergeCell ref="L45:M45"/>
    <mergeCell ref="J46:K46"/>
    <mergeCell ref="L46:M46"/>
    <mergeCell ref="A48:I48"/>
    <mergeCell ref="A42:A46"/>
    <mergeCell ref="B42:I46"/>
    <mergeCell ref="J42:K42"/>
    <mergeCell ref="L42:M42"/>
    <mergeCell ref="J43:K43"/>
    <mergeCell ref="L43:M43"/>
    <mergeCell ref="J44:M44"/>
    <mergeCell ref="N44:O44"/>
    <mergeCell ref="B39:I40"/>
    <mergeCell ref="J39:K39"/>
    <mergeCell ref="L39:M39"/>
    <mergeCell ref="J40:K40"/>
    <mergeCell ref="L40:M40"/>
    <mergeCell ref="B41:I41"/>
    <mergeCell ref="J41:O41"/>
    <mergeCell ref="J34:K34"/>
    <mergeCell ref="B33:G34"/>
    <mergeCell ref="H33:H34"/>
    <mergeCell ref="I33:I34"/>
    <mergeCell ref="J33:K33"/>
    <mergeCell ref="L33:M33"/>
    <mergeCell ref="L34:M34"/>
    <mergeCell ref="A35:A41"/>
    <mergeCell ref="B35:I36"/>
    <mergeCell ref="J35:M35"/>
    <mergeCell ref="H29:H30"/>
    <mergeCell ref="I29:I30"/>
    <mergeCell ref="J29:O29"/>
    <mergeCell ref="J30:K30"/>
    <mergeCell ref="L30:O30"/>
    <mergeCell ref="H31:H32"/>
    <mergeCell ref="I31:I32"/>
    <mergeCell ref="B29:G30"/>
    <mergeCell ref="J32:O32"/>
    <mergeCell ref="N35:O35"/>
    <mergeCell ref="J36:K36"/>
    <mergeCell ref="B37:I38"/>
    <mergeCell ref="J37:K37"/>
    <mergeCell ref="J38:K38"/>
    <mergeCell ref="A17:A34"/>
    <mergeCell ref="B17:G18"/>
    <mergeCell ref="B31:G32"/>
    <mergeCell ref="H27:H28"/>
    <mergeCell ref="I27:I28"/>
    <mergeCell ref="J27:K27"/>
    <mergeCell ref="L27:M27"/>
    <mergeCell ref="J28:K28"/>
    <mergeCell ref="L28:M28"/>
    <mergeCell ref="B27:G28"/>
    <mergeCell ref="J31:K31"/>
    <mergeCell ref="L31:O31"/>
    <mergeCell ref="B23:G24"/>
    <mergeCell ref="H21:H22"/>
    <mergeCell ref="I21:I22"/>
    <mergeCell ref="J21:K21"/>
    <mergeCell ref="L21:M21"/>
    <mergeCell ref="J22:K22"/>
    <mergeCell ref="L22:M22"/>
    <mergeCell ref="H25:H26"/>
    <mergeCell ref="I25:I26"/>
    <mergeCell ref="J25:K25"/>
    <mergeCell ref="L25:M25"/>
    <mergeCell ref="J26:O26"/>
    <mergeCell ref="B25:G26"/>
    <mergeCell ref="H23:H24"/>
    <mergeCell ref="I23:I24"/>
    <mergeCell ref="J23:M23"/>
    <mergeCell ref="N23:O23"/>
    <mergeCell ref="J24:K24"/>
    <mergeCell ref="L24:M24"/>
    <mergeCell ref="J17:O17"/>
    <mergeCell ref="J18:K18"/>
    <mergeCell ref="L18:M18"/>
    <mergeCell ref="B21:G22"/>
    <mergeCell ref="H19:H20"/>
    <mergeCell ref="I19:I20"/>
    <mergeCell ref="J19:K19"/>
    <mergeCell ref="L19:M19"/>
    <mergeCell ref="J13:K13"/>
    <mergeCell ref="L13:M13"/>
    <mergeCell ref="J14:O14"/>
    <mergeCell ref="J15:K15"/>
    <mergeCell ref="L15:M15"/>
    <mergeCell ref="J16:K16"/>
    <mergeCell ref="L16:M16"/>
    <mergeCell ref="B19:G20"/>
    <mergeCell ref="J20:M20"/>
    <mergeCell ref="N20:O20"/>
    <mergeCell ref="J10:K10"/>
    <mergeCell ref="L10:M10"/>
    <mergeCell ref="J11:M11"/>
    <mergeCell ref="N11:O11"/>
    <mergeCell ref="J12:K12"/>
    <mergeCell ref="L12:M12"/>
    <mergeCell ref="J7:K7"/>
    <mergeCell ref="L7:M7"/>
    <mergeCell ref="J8:M8"/>
    <mergeCell ref="N8:O8"/>
    <mergeCell ref="J9:K9"/>
    <mergeCell ref="L9:M9"/>
    <mergeCell ref="I3:I4"/>
    <mergeCell ref="J3:O4"/>
    <mergeCell ref="J5:M5"/>
    <mergeCell ref="N5:O5"/>
    <mergeCell ref="J6:K6"/>
    <mergeCell ref="L6:M6"/>
    <mergeCell ref="A1:O1"/>
    <mergeCell ref="M2:N2"/>
    <mergeCell ref="B3:B4"/>
    <mergeCell ref="C3:C4"/>
    <mergeCell ref="D3:D4"/>
    <mergeCell ref="E3:E4"/>
    <mergeCell ref="F3:F4"/>
    <mergeCell ref="G3:G4"/>
    <mergeCell ref="H3:H4"/>
    <mergeCell ref="A3:A16"/>
  </mergeCells>
  <pageMargins left="0.7" right="0.7" top="0.6" bottom="0.75" header="0.3" footer="0.3"/>
  <pageSetup paperSize="9" scale="26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10"/>
  <sheetViews>
    <sheetView tabSelected="1" topLeftCell="G37" zoomScale="48" zoomScaleNormal="48" workbookViewId="0">
      <selection activeCell="P82" sqref="P82"/>
    </sheetView>
  </sheetViews>
  <sheetFormatPr defaultColWidth="9" defaultRowHeight="25.8"/>
  <cols>
    <col min="1" max="1" width="27.109375" style="1" customWidth="1"/>
    <col min="2" max="2" width="12.21875" style="1" customWidth="1"/>
    <col min="3" max="3" width="28.5546875" style="1" customWidth="1"/>
    <col min="4" max="4" width="35.5546875" style="1" customWidth="1"/>
    <col min="5" max="5" width="21.109375" style="1" customWidth="1"/>
    <col min="6" max="6" width="15.33203125" style="1" customWidth="1"/>
    <col min="7" max="7" width="35.109375" style="63" customWidth="1"/>
    <col min="8" max="8" width="22.77734375" style="1" customWidth="1"/>
    <col min="9" max="9" width="15.77734375" style="1" customWidth="1"/>
    <col min="10" max="10" width="14" style="1" customWidth="1"/>
    <col min="11" max="11" width="13.109375" style="1" customWidth="1"/>
    <col min="12" max="12" width="16.5546875" style="1" customWidth="1"/>
    <col min="13" max="13" width="16" style="1" customWidth="1"/>
    <col min="14" max="14" width="30.77734375" style="1" customWidth="1"/>
    <col min="15" max="15" width="30" style="1" customWidth="1"/>
    <col min="16" max="16" width="44.88671875" style="1" customWidth="1"/>
    <col min="17" max="17" width="22.33203125" style="1" customWidth="1"/>
    <col min="18" max="16384" width="9" style="1"/>
  </cols>
  <sheetData>
    <row r="1" spans="1:17" ht="100.5" customHeight="1" thickBot="1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5"/>
    </row>
    <row r="2" spans="1:17" s="8" customFormat="1" ht="47.55" customHeight="1" thickBot="1">
      <c r="A2" s="2"/>
      <c r="B2" s="3"/>
      <c r="C2" s="4"/>
      <c r="D2" s="3"/>
      <c r="E2" s="4"/>
      <c r="F2" s="3"/>
      <c r="G2" s="5"/>
      <c r="H2" s="6"/>
      <c r="I2" s="4"/>
      <c r="J2" s="3"/>
      <c r="K2" s="3"/>
      <c r="L2" s="3"/>
      <c r="M2" s="106" t="s">
        <v>1</v>
      </c>
      <c r="N2" s="106"/>
      <c r="O2" s="7"/>
    </row>
    <row r="3" spans="1:17" s="9" customFormat="1" ht="67.8" customHeight="1">
      <c r="A3" s="107" t="s">
        <v>2</v>
      </c>
      <c r="B3" s="213" t="s">
        <v>3</v>
      </c>
      <c r="C3" s="86" t="s">
        <v>4</v>
      </c>
      <c r="D3" s="86" t="s">
        <v>5</v>
      </c>
      <c r="E3" s="110" t="s">
        <v>6</v>
      </c>
      <c r="F3" s="112" t="s">
        <v>7</v>
      </c>
      <c r="G3" s="110" t="s">
        <v>8</v>
      </c>
      <c r="H3" s="110" t="s">
        <v>9</v>
      </c>
      <c r="I3" s="86" t="s">
        <v>10</v>
      </c>
      <c r="J3" s="88" t="s">
        <v>11</v>
      </c>
      <c r="K3" s="89"/>
      <c r="L3" s="89"/>
      <c r="M3" s="89"/>
      <c r="N3" s="89"/>
      <c r="O3" s="90"/>
    </row>
    <row r="4" spans="1:17" s="9" customFormat="1" ht="24.6" customHeight="1" thickBot="1">
      <c r="A4" s="108"/>
      <c r="B4" s="214"/>
      <c r="C4" s="87"/>
      <c r="D4" s="87"/>
      <c r="E4" s="111"/>
      <c r="F4" s="113"/>
      <c r="G4" s="87"/>
      <c r="H4" s="111"/>
      <c r="I4" s="87"/>
      <c r="J4" s="91"/>
      <c r="K4" s="92"/>
      <c r="L4" s="92"/>
      <c r="M4" s="92"/>
      <c r="N4" s="92"/>
      <c r="O4" s="93"/>
    </row>
    <row r="5" spans="1:17" s="9" customFormat="1" ht="64.349999999999994" customHeight="1">
      <c r="A5" s="108"/>
      <c r="B5" s="10">
        <v>1</v>
      </c>
      <c r="C5" s="80">
        <v>138100000636</v>
      </c>
      <c r="D5" s="12" t="s">
        <v>320</v>
      </c>
      <c r="E5" s="13">
        <v>101135</v>
      </c>
      <c r="F5" s="12">
        <v>26</v>
      </c>
      <c r="G5" s="12" t="s">
        <v>321</v>
      </c>
      <c r="H5" s="19">
        <v>99530</v>
      </c>
      <c r="I5" s="16">
        <v>26</v>
      </c>
      <c r="J5" s="94" t="s">
        <v>12</v>
      </c>
      <c r="K5" s="95"/>
      <c r="L5" s="95"/>
      <c r="M5" s="96"/>
      <c r="N5" s="97" t="s">
        <v>13</v>
      </c>
      <c r="O5" s="98"/>
    </row>
    <row r="6" spans="1:17" ht="64.349999999999994" customHeight="1">
      <c r="A6" s="108"/>
      <c r="B6" s="17">
        <v>2</v>
      </c>
      <c r="C6" s="80">
        <v>138100000637</v>
      </c>
      <c r="D6" s="18" t="s">
        <v>322</v>
      </c>
      <c r="E6" s="19">
        <v>26978</v>
      </c>
      <c r="F6" s="12">
        <v>6</v>
      </c>
      <c r="G6" s="12" t="s">
        <v>323</v>
      </c>
      <c r="H6" s="19">
        <v>26750</v>
      </c>
      <c r="I6" s="14">
        <v>6</v>
      </c>
      <c r="J6" s="99" t="s">
        <v>16</v>
      </c>
      <c r="K6" s="100"/>
      <c r="L6" s="101">
        <v>3.91</v>
      </c>
      <c r="M6" s="102"/>
      <c r="N6" s="20" t="s">
        <v>17</v>
      </c>
      <c r="O6" s="21">
        <f>(O9-L6)/O9</f>
        <v>0.97708680059070352</v>
      </c>
      <c r="Q6" s="22"/>
    </row>
    <row r="7" spans="1:17" ht="64.349999999999994" customHeight="1">
      <c r="A7" s="108"/>
      <c r="B7" s="10">
        <v>3</v>
      </c>
      <c r="C7" s="80">
        <v>138100000571</v>
      </c>
      <c r="D7" s="18" t="s">
        <v>324</v>
      </c>
      <c r="E7" s="19">
        <v>4213</v>
      </c>
      <c r="F7" s="12">
        <v>1</v>
      </c>
      <c r="G7" s="12" t="s">
        <v>325</v>
      </c>
      <c r="H7" s="19">
        <v>3910</v>
      </c>
      <c r="I7" s="14">
        <v>1</v>
      </c>
      <c r="J7" s="99" t="s">
        <v>18</v>
      </c>
      <c r="K7" s="100"/>
      <c r="L7" s="101">
        <f>L6+'21-05-26'!L7:M7</f>
        <v>395.44400000000002</v>
      </c>
      <c r="M7" s="102"/>
      <c r="N7" s="26" t="s">
        <v>19</v>
      </c>
      <c r="O7" s="27">
        <f>(O10-L7)/O10</f>
        <v>0.95622507769350207</v>
      </c>
    </row>
    <row r="8" spans="1:17" ht="64.349999999999994" customHeight="1">
      <c r="A8" s="108"/>
      <c r="B8" s="17">
        <v>4</v>
      </c>
      <c r="C8" s="80">
        <v>138100000635</v>
      </c>
      <c r="D8" s="18" t="s">
        <v>303</v>
      </c>
      <c r="E8" s="15">
        <v>40967</v>
      </c>
      <c r="F8" s="12">
        <v>9</v>
      </c>
      <c r="G8" s="12" t="s">
        <v>326</v>
      </c>
      <c r="H8" s="19">
        <v>40454</v>
      </c>
      <c r="I8" s="14">
        <v>9</v>
      </c>
      <c r="J8" s="121" t="s">
        <v>20</v>
      </c>
      <c r="K8" s="122"/>
      <c r="L8" s="122"/>
      <c r="M8" s="123"/>
      <c r="N8" s="124" t="s">
        <v>21</v>
      </c>
      <c r="O8" s="125"/>
      <c r="Q8" s="64"/>
    </row>
    <row r="9" spans="1:17" ht="64.349999999999994" customHeight="1">
      <c r="A9" s="108"/>
      <c r="B9" s="10"/>
      <c r="C9" s="11"/>
      <c r="D9" s="18"/>
      <c r="E9" s="19"/>
      <c r="F9" s="18"/>
      <c r="G9" s="12"/>
      <c r="H9" s="28"/>
      <c r="I9" s="16"/>
      <c r="J9" s="99" t="s">
        <v>22</v>
      </c>
      <c r="K9" s="100"/>
      <c r="L9" s="101">
        <v>173.29300000000001</v>
      </c>
      <c r="M9" s="102"/>
      <c r="N9" s="30" t="s">
        <v>22</v>
      </c>
      <c r="O9" s="31">
        <v>170.64400000000001</v>
      </c>
      <c r="Q9" s="32"/>
    </row>
    <row r="10" spans="1:17" ht="64.349999999999994" customHeight="1">
      <c r="A10" s="108"/>
      <c r="B10" s="17"/>
      <c r="C10" s="11"/>
      <c r="D10" s="18"/>
      <c r="E10" s="28"/>
      <c r="F10" s="12"/>
      <c r="G10" s="18"/>
      <c r="H10" s="28"/>
      <c r="I10" s="14"/>
      <c r="J10" s="99" t="s">
        <v>23</v>
      </c>
      <c r="K10" s="100"/>
      <c r="L10" s="101">
        <f>L9+'21-05-26'!L10:M10</f>
        <v>9124.41</v>
      </c>
      <c r="M10" s="102"/>
      <c r="N10" s="30" t="s">
        <v>23</v>
      </c>
      <c r="O10" s="70">
        <f>O9+'21-05-26'!O10</f>
        <v>9033.5740000000005</v>
      </c>
    </row>
    <row r="11" spans="1:17" ht="64.349999999999994" customHeight="1">
      <c r="A11" s="108"/>
      <c r="B11" s="10"/>
      <c r="C11" s="11"/>
      <c r="D11" s="18"/>
      <c r="E11" s="13"/>
      <c r="F11" s="12"/>
      <c r="G11" s="12"/>
      <c r="H11" s="13"/>
      <c r="I11" s="14"/>
      <c r="J11" s="114" t="s">
        <v>24</v>
      </c>
      <c r="K11" s="115"/>
      <c r="L11" s="115"/>
      <c r="M11" s="116"/>
      <c r="N11" s="117" t="s">
        <v>25</v>
      </c>
      <c r="O11" s="118"/>
      <c r="Q11" s="64"/>
    </row>
    <row r="12" spans="1:17" ht="64.349999999999994" customHeight="1">
      <c r="A12" s="108"/>
      <c r="B12" s="17"/>
      <c r="C12" s="11"/>
      <c r="D12" s="12"/>
      <c r="E12" s="13"/>
      <c r="F12" s="12"/>
      <c r="G12" s="12"/>
      <c r="H12" s="13"/>
      <c r="I12" s="14"/>
      <c r="J12" s="99" t="s">
        <v>26</v>
      </c>
      <c r="K12" s="100"/>
      <c r="L12" s="119">
        <f>O9/(6-I33)</f>
        <v>29.421379310344829</v>
      </c>
      <c r="M12" s="120"/>
      <c r="N12" s="33" t="s">
        <v>27</v>
      </c>
      <c r="O12" s="27">
        <f>(6-I33)/6</f>
        <v>0.96666666666666667</v>
      </c>
      <c r="Q12" s="64"/>
    </row>
    <row r="13" spans="1:17" ht="64.349999999999994" customHeight="1">
      <c r="A13" s="108"/>
      <c r="B13" s="10"/>
      <c r="C13" s="11"/>
      <c r="D13" s="12"/>
      <c r="E13" s="13"/>
      <c r="F13" s="12"/>
      <c r="G13" s="12"/>
      <c r="H13" s="13"/>
      <c r="I13" s="78"/>
      <c r="J13" s="99" t="s">
        <v>28</v>
      </c>
      <c r="K13" s="100"/>
      <c r="L13" s="119">
        <f>O10/O46</f>
        <v>43.472444658325315</v>
      </c>
      <c r="M13" s="120"/>
      <c r="N13" s="33" t="s">
        <v>29</v>
      </c>
      <c r="O13" s="27">
        <f>O46/L46</f>
        <v>0.92355555555555557</v>
      </c>
      <c r="Q13" s="64"/>
    </row>
    <row r="14" spans="1:17" ht="64.349999999999994" customHeight="1" thickBot="1">
      <c r="A14" s="109"/>
      <c r="B14" s="81"/>
      <c r="C14" s="82"/>
      <c r="D14" s="83"/>
      <c r="E14" s="84"/>
      <c r="F14" s="83"/>
      <c r="G14" s="85"/>
      <c r="H14" s="13"/>
      <c r="I14" s="14"/>
      <c r="J14" s="124" t="s">
        <v>30</v>
      </c>
      <c r="K14" s="126"/>
      <c r="L14" s="126"/>
      <c r="M14" s="126"/>
      <c r="N14" s="126"/>
      <c r="O14" s="125"/>
      <c r="Q14" s="64"/>
    </row>
    <row r="15" spans="1:17" ht="58.8" customHeight="1">
      <c r="A15" s="107" t="s">
        <v>31</v>
      </c>
      <c r="B15" s="220" t="s">
        <v>327</v>
      </c>
      <c r="C15" s="221"/>
      <c r="D15" s="221"/>
      <c r="E15" s="221"/>
      <c r="F15" s="221"/>
      <c r="G15" s="221"/>
      <c r="H15" s="79" t="s">
        <v>32</v>
      </c>
      <c r="I15" s="77" t="s">
        <v>33</v>
      </c>
      <c r="J15" s="215" t="s">
        <v>34</v>
      </c>
      <c r="K15" s="100"/>
      <c r="L15" s="131">
        <v>1929</v>
      </c>
      <c r="M15" s="132"/>
      <c r="N15" s="33" t="s">
        <v>35</v>
      </c>
      <c r="O15" s="36">
        <f>L15/L9</f>
        <v>11.13143635345917</v>
      </c>
      <c r="Q15" s="64"/>
    </row>
    <row r="16" spans="1:17" ht="58.8" customHeight="1">
      <c r="A16" s="108"/>
      <c r="B16" s="220"/>
      <c r="C16" s="221"/>
      <c r="D16" s="221"/>
      <c r="E16" s="221"/>
      <c r="F16" s="221"/>
      <c r="G16" s="221"/>
      <c r="H16" s="34">
        <v>6</v>
      </c>
      <c r="I16" s="35">
        <f>ROUND(H16/60,1)</f>
        <v>0.1</v>
      </c>
      <c r="J16" s="215" t="s">
        <v>36</v>
      </c>
      <c r="K16" s="100"/>
      <c r="L16" s="131">
        <f>L15+'21-05-26'!L16:M16</f>
        <v>68333</v>
      </c>
      <c r="M16" s="132"/>
      <c r="N16" s="33" t="s">
        <v>37</v>
      </c>
      <c r="O16" s="36">
        <f>L16/L10</f>
        <v>7.4890321675593272</v>
      </c>
      <c r="Q16" s="64"/>
    </row>
    <row r="17" spans="1:17" ht="58.8" customHeight="1">
      <c r="A17" s="108"/>
      <c r="B17" s="222" t="s">
        <v>328</v>
      </c>
      <c r="C17" s="223"/>
      <c r="D17" s="223"/>
      <c r="E17" s="223"/>
      <c r="F17" s="223"/>
      <c r="G17" s="223"/>
      <c r="H17" s="216">
        <v>5</v>
      </c>
      <c r="I17" s="133">
        <f t="shared" ref="I17:I19" si="0">ROUND(H17/60,1)</f>
        <v>0.1</v>
      </c>
      <c r="J17" s="136" t="s">
        <v>38</v>
      </c>
      <c r="K17" s="136"/>
      <c r="L17" s="136"/>
      <c r="M17" s="136"/>
      <c r="N17" s="136"/>
      <c r="O17" s="137"/>
      <c r="Q17" s="64"/>
    </row>
    <row r="18" spans="1:17" ht="58.8" customHeight="1">
      <c r="A18" s="108"/>
      <c r="B18" s="224"/>
      <c r="C18" s="225"/>
      <c r="D18" s="225"/>
      <c r="E18" s="225"/>
      <c r="F18" s="225"/>
      <c r="G18" s="225"/>
      <c r="H18" s="217"/>
      <c r="I18" s="134"/>
      <c r="J18" s="215" t="s">
        <v>39</v>
      </c>
      <c r="K18" s="100"/>
      <c r="L18" s="131">
        <v>6</v>
      </c>
      <c r="M18" s="132"/>
      <c r="N18" s="33" t="s">
        <v>40</v>
      </c>
      <c r="O18" s="37">
        <f>L18/L9</f>
        <v>3.4623441223823236E-2</v>
      </c>
      <c r="Q18" s="64"/>
    </row>
    <row r="19" spans="1:17" ht="58.8" customHeight="1">
      <c r="A19" s="108"/>
      <c r="B19" s="226" t="s">
        <v>329</v>
      </c>
      <c r="C19" s="226"/>
      <c r="D19" s="226"/>
      <c r="E19" s="226"/>
      <c r="F19" s="226"/>
      <c r="G19" s="227"/>
      <c r="H19" s="216">
        <v>9</v>
      </c>
      <c r="I19" s="133">
        <f t="shared" si="0"/>
        <v>0.2</v>
      </c>
      <c r="J19" s="99" t="s">
        <v>41</v>
      </c>
      <c r="K19" s="100"/>
      <c r="L19" s="131">
        <f>L18+'21-05-26'!L19:M19</f>
        <v>183</v>
      </c>
      <c r="M19" s="132"/>
      <c r="N19" s="33" t="s">
        <v>42</v>
      </c>
      <c r="O19" s="38">
        <f>L19/L10</f>
        <v>2.0056091297957896E-2</v>
      </c>
      <c r="Q19" s="64"/>
    </row>
    <row r="20" spans="1:17" ht="58.8" customHeight="1">
      <c r="A20" s="108"/>
      <c r="B20" s="228"/>
      <c r="C20" s="228"/>
      <c r="D20" s="228"/>
      <c r="E20" s="228"/>
      <c r="F20" s="228"/>
      <c r="G20" s="222"/>
      <c r="H20" s="217"/>
      <c r="I20" s="134"/>
      <c r="J20" s="143" t="s">
        <v>43</v>
      </c>
      <c r="K20" s="144"/>
      <c r="L20" s="144"/>
      <c r="M20" s="145"/>
      <c r="N20" s="143" t="s">
        <v>44</v>
      </c>
      <c r="O20" s="146"/>
      <c r="Q20" s="64"/>
    </row>
    <row r="21" spans="1:17" ht="58.8" customHeight="1">
      <c r="A21" s="108"/>
      <c r="B21" s="127"/>
      <c r="C21" s="127"/>
      <c r="D21" s="127"/>
      <c r="E21" s="127"/>
      <c r="F21" s="127"/>
      <c r="G21" s="128"/>
      <c r="H21" s="133"/>
      <c r="I21" s="133"/>
      <c r="J21" s="99" t="s">
        <v>45</v>
      </c>
      <c r="K21" s="100"/>
      <c r="L21" s="131">
        <v>132</v>
      </c>
      <c r="M21" s="132"/>
      <c r="N21" s="30" t="s">
        <v>45</v>
      </c>
      <c r="O21" s="39">
        <v>130</v>
      </c>
      <c r="Q21" s="64"/>
    </row>
    <row r="22" spans="1:17" ht="58.8" customHeight="1">
      <c r="A22" s="108"/>
      <c r="B22" s="129"/>
      <c r="C22" s="129"/>
      <c r="D22" s="129"/>
      <c r="E22" s="129"/>
      <c r="F22" s="129"/>
      <c r="G22" s="130"/>
      <c r="H22" s="134"/>
      <c r="I22" s="134"/>
      <c r="J22" s="99" t="s">
        <v>46</v>
      </c>
      <c r="K22" s="100"/>
      <c r="L22" s="131">
        <f>L21+'21-05-26'!L22:M22</f>
        <v>6118</v>
      </c>
      <c r="M22" s="132"/>
      <c r="N22" s="30" t="s">
        <v>46</v>
      </c>
      <c r="O22" s="39">
        <f>O21+'21-05-26'!O22</f>
        <v>7316</v>
      </c>
      <c r="Q22" s="64"/>
    </row>
    <row r="23" spans="1:17" ht="58.8" customHeight="1">
      <c r="A23" s="108"/>
      <c r="B23" s="127"/>
      <c r="C23" s="127"/>
      <c r="D23" s="127"/>
      <c r="E23" s="127"/>
      <c r="F23" s="127"/>
      <c r="G23" s="128"/>
      <c r="H23" s="133"/>
      <c r="I23" s="133"/>
      <c r="J23" s="138" t="s">
        <v>47</v>
      </c>
      <c r="K23" s="139"/>
      <c r="L23" s="139"/>
      <c r="M23" s="140"/>
      <c r="N23" s="141" t="s">
        <v>48</v>
      </c>
      <c r="O23" s="142"/>
      <c r="Q23" s="64"/>
    </row>
    <row r="24" spans="1:17" ht="58.8" customHeight="1">
      <c r="A24" s="108"/>
      <c r="B24" s="129"/>
      <c r="C24" s="129"/>
      <c r="D24" s="129"/>
      <c r="E24" s="129"/>
      <c r="F24" s="129"/>
      <c r="G24" s="130"/>
      <c r="H24" s="134"/>
      <c r="I24" s="134"/>
      <c r="J24" s="99" t="s">
        <v>45</v>
      </c>
      <c r="K24" s="100"/>
      <c r="L24" s="131">
        <v>144</v>
      </c>
      <c r="M24" s="132"/>
      <c r="N24" s="30" t="s">
        <v>45</v>
      </c>
      <c r="O24" s="40"/>
      <c r="Q24" s="64"/>
    </row>
    <row r="25" spans="1:17" ht="58.8" customHeight="1">
      <c r="A25" s="108"/>
      <c r="B25" s="127"/>
      <c r="C25" s="127"/>
      <c r="D25" s="127"/>
      <c r="E25" s="127"/>
      <c r="F25" s="127"/>
      <c r="G25" s="128"/>
      <c r="H25" s="133"/>
      <c r="I25" s="133"/>
      <c r="J25" s="99" t="s">
        <v>46</v>
      </c>
      <c r="K25" s="100"/>
      <c r="L25" s="131">
        <f>L24+'21-05-26'!L25:M25</f>
        <v>3897</v>
      </c>
      <c r="M25" s="132"/>
      <c r="N25" s="30" t="s">
        <v>46</v>
      </c>
      <c r="O25" s="40"/>
      <c r="Q25" s="64"/>
    </row>
    <row r="26" spans="1:17" ht="58.8" customHeight="1">
      <c r="A26" s="108"/>
      <c r="B26" s="129"/>
      <c r="C26" s="129"/>
      <c r="D26" s="129"/>
      <c r="E26" s="129"/>
      <c r="F26" s="129"/>
      <c r="G26" s="130"/>
      <c r="H26" s="134"/>
      <c r="I26" s="134"/>
      <c r="J26" s="117" t="s">
        <v>49</v>
      </c>
      <c r="K26" s="161"/>
      <c r="L26" s="161"/>
      <c r="M26" s="161"/>
      <c r="N26" s="161"/>
      <c r="O26" s="118"/>
      <c r="Q26" s="64"/>
    </row>
    <row r="27" spans="1:17" ht="58.8" customHeight="1">
      <c r="A27" s="108"/>
      <c r="B27" s="127"/>
      <c r="C27" s="148"/>
      <c r="D27" s="148"/>
      <c r="E27" s="148"/>
      <c r="F27" s="148"/>
      <c r="G27" s="149"/>
      <c r="H27" s="133"/>
      <c r="I27" s="133"/>
      <c r="J27" s="153" t="s">
        <v>50</v>
      </c>
      <c r="K27" s="154"/>
      <c r="L27" s="155">
        <v>819</v>
      </c>
      <c r="M27" s="156"/>
      <c r="N27" s="41" t="s">
        <v>51</v>
      </c>
      <c r="O27" s="42">
        <f>L27/L9</f>
        <v>4.7260997270518716</v>
      </c>
      <c r="Q27" s="68"/>
    </row>
    <row r="28" spans="1:17" ht="58.8" customHeight="1">
      <c r="A28" s="108"/>
      <c r="B28" s="151"/>
      <c r="C28" s="151"/>
      <c r="D28" s="151"/>
      <c r="E28" s="151"/>
      <c r="F28" s="151"/>
      <c r="G28" s="152"/>
      <c r="H28" s="134"/>
      <c r="I28" s="134"/>
      <c r="J28" s="153" t="s">
        <v>52</v>
      </c>
      <c r="K28" s="154"/>
      <c r="L28" s="155">
        <f>L27+'21-05-26'!L28:M28</f>
        <v>29452</v>
      </c>
      <c r="M28" s="156"/>
      <c r="N28" s="41" t="s">
        <v>53</v>
      </c>
      <c r="O28" s="42">
        <f>L28/L10</f>
        <v>3.2278251415707975</v>
      </c>
      <c r="Q28" s="64"/>
    </row>
    <row r="29" spans="1:17" ht="58.8" customHeight="1">
      <c r="A29" s="108"/>
      <c r="B29" s="127"/>
      <c r="C29" s="148"/>
      <c r="D29" s="148"/>
      <c r="E29" s="148"/>
      <c r="F29" s="148"/>
      <c r="G29" s="149"/>
      <c r="H29" s="133"/>
      <c r="I29" s="133"/>
      <c r="J29" s="121" t="s">
        <v>54</v>
      </c>
      <c r="K29" s="122"/>
      <c r="L29" s="122"/>
      <c r="M29" s="122"/>
      <c r="N29" s="122"/>
      <c r="O29" s="171"/>
      <c r="Q29" s="64"/>
    </row>
    <row r="30" spans="1:17" ht="58.8" customHeight="1">
      <c r="A30" s="108"/>
      <c r="B30" s="151"/>
      <c r="C30" s="151"/>
      <c r="D30" s="151"/>
      <c r="E30" s="151"/>
      <c r="F30" s="151"/>
      <c r="G30" s="152"/>
      <c r="H30" s="134"/>
      <c r="I30" s="134"/>
      <c r="J30" s="153" t="s">
        <v>55</v>
      </c>
      <c r="K30" s="154"/>
      <c r="L30" s="155">
        <v>18</v>
      </c>
      <c r="M30" s="166"/>
      <c r="N30" s="166"/>
      <c r="O30" s="167"/>
      <c r="Q30" s="64"/>
    </row>
    <row r="31" spans="1:17" ht="58.8" customHeight="1">
      <c r="A31" s="108"/>
      <c r="B31" s="148"/>
      <c r="C31" s="148"/>
      <c r="D31" s="148"/>
      <c r="E31" s="148"/>
      <c r="F31" s="148"/>
      <c r="G31" s="149"/>
      <c r="H31" s="133"/>
      <c r="I31" s="133"/>
      <c r="J31" s="153" t="s">
        <v>56</v>
      </c>
      <c r="K31" s="154"/>
      <c r="L31" s="155">
        <f>L30+'21-05-26'!L31:O31</f>
        <v>549</v>
      </c>
      <c r="M31" s="166"/>
      <c r="N31" s="166"/>
      <c r="O31" s="167"/>
      <c r="Q31" s="64"/>
    </row>
    <row r="32" spans="1:17" ht="58.8" customHeight="1">
      <c r="A32" s="108"/>
      <c r="B32" s="151"/>
      <c r="C32" s="151"/>
      <c r="D32" s="151"/>
      <c r="E32" s="151"/>
      <c r="F32" s="151"/>
      <c r="G32" s="152"/>
      <c r="H32" s="134"/>
      <c r="I32" s="134"/>
      <c r="J32" s="168" t="s">
        <v>57</v>
      </c>
      <c r="K32" s="169"/>
      <c r="L32" s="169"/>
      <c r="M32" s="169"/>
      <c r="N32" s="169"/>
      <c r="O32" s="170"/>
      <c r="Q32" s="64"/>
    </row>
    <row r="33" spans="1:17" ht="58.8" customHeight="1">
      <c r="A33" s="108"/>
      <c r="B33" s="162"/>
      <c r="C33" s="162"/>
      <c r="D33" s="162"/>
      <c r="E33" s="162"/>
      <c r="F33" s="162"/>
      <c r="G33" s="163"/>
      <c r="H33" s="133"/>
      <c r="I33" s="133">
        <f>ROUND(I18+I19+I21+I23+I25+I27+I29+I31,1)</f>
        <v>0.2</v>
      </c>
      <c r="J33" s="99" t="s">
        <v>34</v>
      </c>
      <c r="K33" s="100"/>
      <c r="L33" s="155">
        <v>12082</v>
      </c>
      <c r="M33" s="156"/>
      <c r="N33" s="33" t="s">
        <v>58</v>
      </c>
      <c r="O33" s="43">
        <f>L33/O9</f>
        <v>70.802372190056488</v>
      </c>
      <c r="Q33" s="64"/>
    </row>
    <row r="34" spans="1:17" ht="58.8" customHeight="1" thickBot="1">
      <c r="A34" s="109"/>
      <c r="B34" s="164"/>
      <c r="C34" s="164"/>
      <c r="D34" s="164"/>
      <c r="E34" s="164"/>
      <c r="F34" s="164"/>
      <c r="G34" s="165"/>
      <c r="H34" s="134"/>
      <c r="I34" s="134"/>
      <c r="J34" s="99" t="s">
        <v>36</v>
      </c>
      <c r="K34" s="100"/>
      <c r="L34" s="131">
        <f>L33+'21-05-26'!L34:M35</f>
        <v>390884</v>
      </c>
      <c r="M34" s="132"/>
      <c r="N34" s="33" t="s">
        <v>59</v>
      </c>
      <c r="O34" s="43">
        <f>L34/O10</f>
        <v>43.270138707005664</v>
      </c>
      <c r="Q34" s="64"/>
    </row>
    <row r="35" spans="1:17" ht="43.35" customHeight="1">
      <c r="A35" s="107" t="s">
        <v>60</v>
      </c>
      <c r="B35" s="203" t="s">
        <v>331</v>
      </c>
      <c r="C35" s="127"/>
      <c r="D35" s="127"/>
      <c r="E35" s="127"/>
      <c r="F35" s="127"/>
      <c r="G35" s="127"/>
      <c r="H35" s="127"/>
      <c r="I35" s="128"/>
      <c r="J35" s="138" t="s">
        <v>61</v>
      </c>
      <c r="K35" s="139"/>
      <c r="L35" s="139"/>
      <c r="M35" s="140"/>
      <c r="N35" s="172" t="s">
        <v>62</v>
      </c>
      <c r="O35" s="173"/>
      <c r="P35" s="44"/>
      <c r="Q35" s="64"/>
    </row>
    <row r="36" spans="1:17" ht="47.55" customHeight="1">
      <c r="A36" s="108"/>
      <c r="B36" s="204"/>
      <c r="C36" s="129"/>
      <c r="D36" s="129"/>
      <c r="E36" s="129"/>
      <c r="F36" s="129"/>
      <c r="G36" s="129"/>
      <c r="H36" s="129"/>
      <c r="I36" s="130"/>
      <c r="J36" s="176" t="s">
        <v>63</v>
      </c>
      <c r="K36" s="177"/>
      <c r="L36" s="45">
        <v>102</v>
      </c>
      <c r="M36" s="45">
        <f>L36+'21-05-26'!M36</f>
        <v>7792</v>
      </c>
      <c r="N36" s="65">
        <f>L36/1000/L9</f>
        <v>5.8859850080499499E-4</v>
      </c>
      <c r="O36" s="66">
        <f>M36/1000/L10</f>
        <v>8.539730240092236E-4</v>
      </c>
      <c r="P36" s="44"/>
      <c r="Q36" s="64"/>
    </row>
    <row r="37" spans="1:17" ht="47.55" customHeight="1">
      <c r="A37" s="108"/>
      <c r="B37" s="205"/>
      <c r="C37" s="206"/>
      <c r="D37" s="206"/>
      <c r="E37" s="206"/>
      <c r="F37" s="206"/>
      <c r="G37" s="206"/>
      <c r="H37" s="206"/>
      <c r="I37" s="207"/>
      <c r="J37" s="176" t="s">
        <v>64</v>
      </c>
      <c r="K37" s="177"/>
      <c r="L37" s="45">
        <v>270</v>
      </c>
      <c r="M37" s="45">
        <f>L37+'21-05-26'!M37</f>
        <v>5803</v>
      </c>
      <c r="N37" s="65">
        <f>L37/1000/L9</f>
        <v>1.5580548550720456E-3</v>
      </c>
      <c r="O37" s="66">
        <f>M37/1000/L10</f>
        <v>6.3598632678715664E-4</v>
      </c>
      <c r="P37" s="44"/>
      <c r="Q37" s="64"/>
    </row>
    <row r="38" spans="1:17" ht="47.55" customHeight="1">
      <c r="A38" s="108"/>
      <c r="B38" s="208"/>
      <c r="C38" s="209"/>
      <c r="D38" s="209"/>
      <c r="E38" s="209"/>
      <c r="F38" s="209"/>
      <c r="G38" s="209"/>
      <c r="H38" s="209"/>
      <c r="I38" s="210"/>
      <c r="J38" s="178" t="s">
        <v>65</v>
      </c>
      <c r="K38" s="179"/>
      <c r="L38" s="46">
        <v>324</v>
      </c>
      <c r="M38" s="46">
        <f>L38+'21-05-26'!M38</f>
        <v>6092</v>
      </c>
      <c r="N38" s="65">
        <f>L38/1000/L9</f>
        <v>1.8696658260864546E-3</v>
      </c>
      <c r="O38" s="66">
        <f>M38/1000/L10</f>
        <v>6.6765960758010648E-4</v>
      </c>
      <c r="P38" s="44"/>
      <c r="Q38" s="64"/>
    </row>
    <row r="39" spans="1:17" ht="47.55" customHeight="1">
      <c r="A39" s="108"/>
      <c r="B39" s="205"/>
      <c r="C39" s="206"/>
      <c r="D39" s="206"/>
      <c r="E39" s="206"/>
      <c r="F39" s="206"/>
      <c r="G39" s="206"/>
      <c r="H39" s="206"/>
      <c r="I39" s="207"/>
      <c r="J39" s="99" t="s">
        <v>45</v>
      </c>
      <c r="K39" s="100"/>
      <c r="L39" s="131">
        <f>L36+L37+L38</f>
        <v>696</v>
      </c>
      <c r="M39" s="132"/>
      <c r="N39" s="30" t="s">
        <v>66</v>
      </c>
      <c r="O39" s="47">
        <f>O9/L9</f>
        <v>0.98471375069968203</v>
      </c>
      <c r="P39" s="44"/>
      <c r="Q39" s="64"/>
    </row>
    <row r="40" spans="1:17" ht="47.25" customHeight="1">
      <c r="A40" s="108"/>
      <c r="B40" s="208"/>
      <c r="C40" s="209"/>
      <c r="D40" s="209"/>
      <c r="E40" s="209"/>
      <c r="F40" s="209"/>
      <c r="G40" s="209"/>
      <c r="H40" s="209"/>
      <c r="I40" s="210"/>
      <c r="J40" s="99" t="s">
        <v>46</v>
      </c>
      <c r="K40" s="100"/>
      <c r="L40" s="131">
        <f>L39+'21-05-26'!L40:M40</f>
        <v>19687</v>
      </c>
      <c r="M40" s="132"/>
      <c r="N40" s="30" t="s">
        <v>29</v>
      </c>
      <c r="O40" s="47">
        <f>(O10)/(L10-L22/1000)</f>
        <v>0.99070900559008213</v>
      </c>
      <c r="P40"/>
      <c r="Q40" s="64"/>
    </row>
    <row r="41" spans="1:17" ht="46.5" customHeight="1" thickBot="1">
      <c r="A41" s="109"/>
      <c r="B41" s="174"/>
      <c r="C41" s="174"/>
      <c r="D41" s="174"/>
      <c r="E41" s="174"/>
      <c r="F41" s="174"/>
      <c r="G41" s="174"/>
      <c r="H41" s="174"/>
      <c r="I41" s="175"/>
      <c r="J41" s="135" t="s">
        <v>67</v>
      </c>
      <c r="K41" s="136"/>
      <c r="L41" s="136"/>
      <c r="M41" s="136"/>
      <c r="N41" s="136"/>
      <c r="O41" s="137"/>
      <c r="P41" s="48"/>
      <c r="Q41" s="64"/>
    </row>
    <row r="42" spans="1:17" ht="49.35" customHeight="1">
      <c r="A42" s="107" t="s">
        <v>68</v>
      </c>
      <c r="B42" s="127" t="s">
        <v>330</v>
      </c>
      <c r="C42" s="127"/>
      <c r="D42" s="127"/>
      <c r="E42" s="127"/>
      <c r="F42" s="127"/>
      <c r="G42" s="127"/>
      <c r="H42" s="127"/>
      <c r="I42" s="128"/>
      <c r="J42" s="99" t="s">
        <v>45</v>
      </c>
      <c r="K42" s="100"/>
      <c r="L42" s="131">
        <v>60</v>
      </c>
      <c r="M42" s="132"/>
      <c r="N42" s="33" t="s">
        <v>69</v>
      </c>
      <c r="O42" s="43">
        <f>L42/O9</f>
        <v>0.35160919809662222</v>
      </c>
      <c r="P42" s="48"/>
      <c r="Q42" s="64"/>
    </row>
    <row r="43" spans="1:17" ht="50.55" customHeight="1" thickBot="1">
      <c r="A43" s="108"/>
      <c r="B43" s="190"/>
      <c r="C43" s="190"/>
      <c r="D43" s="190"/>
      <c r="E43" s="190"/>
      <c r="F43" s="190"/>
      <c r="G43" s="190"/>
      <c r="H43" s="190"/>
      <c r="I43" s="191"/>
      <c r="J43" s="180" t="s">
        <v>46</v>
      </c>
      <c r="K43" s="181"/>
      <c r="L43" s="182">
        <f>L42+'21-05-26'!L43:M43</f>
        <v>1040</v>
      </c>
      <c r="M43" s="183"/>
      <c r="N43" s="49" t="s">
        <v>70</v>
      </c>
      <c r="O43" s="50">
        <f>L43/O10</f>
        <v>0.11512608409473371</v>
      </c>
      <c r="P43" s="48"/>
      <c r="Q43" s="64"/>
    </row>
    <row r="44" spans="1:17" ht="35.549999999999997" customHeight="1">
      <c r="A44" s="108"/>
      <c r="B44" s="190"/>
      <c r="C44" s="190"/>
      <c r="D44" s="190"/>
      <c r="E44" s="190"/>
      <c r="F44" s="190"/>
      <c r="G44" s="190"/>
      <c r="H44" s="190"/>
      <c r="I44" s="191"/>
      <c r="J44" s="195" t="s">
        <v>71</v>
      </c>
      <c r="K44" s="196"/>
      <c r="L44" s="196"/>
      <c r="M44" s="197"/>
      <c r="N44" s="195" t="s">
        <v>72</v>
      </c>
      <c r="O44" s="198"/>
      <c r="Q44" s="64"/>
    </row>
    <row r="45" spans="1:17" ht="43.35" customHeight="1">
      <c r="A45" s="108"/>
      <c r="B45" s="190"/>
      <c r="C45" s="190"/>
      <c r="D45" s="190"/>
      <c r="E45" s="190"/>
      <c r="F45" s="190"/>
      <c r="G45" s="190"/>
      <c r="H45" s="190"/>
      <c r="I45" s="191"/>
      <c r="J45" s="99" t="s">
        <v>73</v>
      </c>
      <c r="K45" s="100"/>
      <c r="L45" s="131">
        <v>6</v>
      </c>
      <c r="M45" s="132"/>
      <c r="N45" s="30" t="s">
        <v>73</v>
      </c>
      <c r="O45" s="39">
        <f>6-I33</f>
        <v>5.8</v>
      </c>
    </row>
    <row r="46" spans="1:17" ht="52.35" customHeight="1" thickBot="1">
      <c r="A46" s="109"/>
      <c r="B46" s="193"/>
      <c r="C46" s="193"/>
      <c r="D46" s="193"/>
      <c r="E46" s="193"/>
      <c r="F46" s="193"/>
      <c r="G46" s="193"/>
      <c r="H46" s="193"/>
      <c r="I46" s="194"/>
      <c r="J46" s="180" t="s">
        <v>74</v>
      </c>
      <c r="K46" s="181"/>
      <c r="L46" s="182">
        <f>L45+'21-05-26'!L46:M46</f>
        <v>225</v>
      </c>
      <c r="M46" s="183"/>
      <c r="N46" s="51" t="s">
        <v>74</v>
      </c>
      <c r="O46" s="67">
        <f>ROUND(L46-I33-'01-05-26'!I33-'02-05-26'!I33-'03-05-26'!I33-'04-05-26'!I33-'05-05-26'!I33-'06-05-26'!I33-'07-05-26'!I33-'08-05-26'!I33-'09-05-26'!I33-'10-05-26 '!I33-'11-05-26'!I33-'12-05-26 '!I33-'13-05-26'!I33-'14-05-26'!I33-'15-05-26'!I33-'16-05-26'!I33-'17-05-26'!I33-'18-05-26'!I33-'19-05-26'!I33-'20-05-26'!I33-'21-05-26'!I33,1)</f>
        <v>207.8</v>
      </c>
    </row>
    <row r="47" spans="1:17" ht="52.35" customHeight="1">
      <c r="A47" s="52"/>
      <c r="B47" s="53"/>
      <c r="C47" s="53"/>
      <c r="D47" s="53"/>
      <c r="E47" s="53"/>
      <c r="F47" s="53"/>
      <c r="G47" s="53"/>
      <c r="H47" s="53"/>
      <c r="I47" s="53"/>
      <c r="J47" s="54"/>
      <c r="K47" s="54"/>
      <c r="L47" s="54"/>
      <c r="M47" s="55"/>
      <c r="N47" s="56"/>
      <c r="O47" s="57"/>
    </row>
    <row r="48" spans="1:17" ht="77.55" customHeight="1">
      <c r="A48" s="184" t="s">
        <v>75</v>
      </c>
      <c r="B48" s="184"/>
      <c r="C48" s="184"/>
      <c r="D48" s="184"/>
      <c r="E48" s="184"/>
      <c r="F48" s="184"/>
      <c r="G48" s="184"/>
      <c r="H48" s="184"/>
      <c r="I48" s="184"/>
    </row>
    <row r="49" spans="1:12" s="58" customFormat="1" ht="86.55" customHeight="1"/>
    <row r="50" spans="1:12" s="61" customFormat="1" ht="21" customHeight="1">
      <c r="A50" s="59"/>
      <c r="B50" s="60"/>
      <c r="C50" s="60"/>
      <c r="D50" s="60"/>
      <c r="E50" s="60"/>
    </row>
    <row r="52" spans="1:12">
      <c r="G52" s="71"/>
      <c r="K52" s="64"/>
    </row>
    <row r="53" spans="1:12">
      <c r="G53" s="71"/>
      <c r="J53" s="64"/>
      <c r="K53" s="64"/>
      <c r="L53" s="64"/>
    </row>
    <row r="54" spans="1:12">
      <c r="G54" s="71"/>
      <c r="J54" s="64"/>
      <c r="K54" s="64"/>
      <c r="L54" s="64"/>
    </row>
    <row r="55" spans="1:12">
      <c r="G55" s="71"/>
      <c r="J55" s="64"/>
      <c r="K55" s="64"/>
      <c r="L55" s="64"/>
    </row>
    <row r="56" spans="1:12">
      <c r="E56" s="62"/>
      <c r="G56" s="71"/>
      <c r="J56" s="64"/>
      <c r="K56" s="64"/>
      <c r="L56" s="64"/>
    </row>
    <row r="57" spans="1:12">
      <c r="G57" s="71"/>
      <c r="J57" s="64"/>
      <c r="K57" s="64"/>
      <c r="L57" s="64"/>
    </row>
    <row r="58" spans="1:12">
      <c r="G58" s="71"/>
      <c r="H58" s="69"/>
      <c r="J58" s="64"/>
      <c r="K58" s="64"/>
      <c r="L58" s="64"/>
    </row>
    <row r="59" spans="1:12">
      <c r="G59" s="71"/>
      <c r="H59" s="64"/>
      <c r="I59" s="64"/>
      <c r="J59" s="64"/>
      <c r="K59" s="64"/>
      <c r="L59" s="64"/>
    </row>
    <row r="60" spans="1:12">
      <c r="G60" s="71"/>
      <c r="H60" s="64"/>
      <c r="I60" s="64"/>
      <c r="J60" s="64"/>
      <c r="K60" s="64"/>
      <c r="L60" s="64"/>
    </row>
    <row r="61" spans="1:12">
      <c r="G61" s="71"/>
      <c r="H61" s="64"/>
      <c r="I61" s="64"/>
      <c r="J61" s="64"/>
      <c r="K61" s="64"/>
      <c r="L61" s="64"/>
    </row>
    <row r="62" spans="1:12">
      <c r="G62" s="71"/>
      <c r="H62" s="64"/>
      <c r="I62" s="64"/>
      <c r="J62" s="64"/>
      <c r="K62" s="64"/>
      <c r="L62" s="64"/>
    </row>
    <row r="63" spans="1:12">
      <c r="G63" s="71"/>
      <c r="H63" s="64"/>
      <c r="I63" s="64"/>
      <c r="J63" s="64"/>
      <c r="K63" s="64"/>
      <c r="L63" s="64"/>
    </row>
    <row r="64" spans="1:12">
      <c r="G64" s="71"/>
      <c r="H64" s="64"/>
      <c r="I64" s="64"/>
      <c r="J64" s="64"/>
      <c r="K64" s="64"/>
      <c r="L64" s="64"/>
    </row>
    <row r="65" spans="7:12">
      <c r="G65" s="71"/>
      <c r="H65" s="64"/>
      <c r="I65" s="64"/>
      <c r="J65" s="64"/>
      <c r="K65" s="64"/>
      <c r="L65" s="64"/>
    </row>
    <row r="66" spans="7:12">
      <c r="G66" s="71"/>
      <c r="H66" s="64"/>
      <c r="I66" s="64"/>
      <c r="J66" s="64"/>
      <c r="K66" s="64"/>
      <c r="L66" s="64"/>
    </row>
    <row r="67" spans="7:12">
      <c r="G67" s="71"/>
      <c r="H67" s="64"/>
      <c r="I67" s="64"/>
      <c r="J67" s="64"/>
      <c r="K67" s="64"/>
      <c r="L67" s="64"/>
    </row>
    <row r="68" spans="7:12">
      <c r="G68" s="71"/>
      <c r="H68" s="64"/>
      <c r="I68" s="64"/>
      <c r="J68" s="64"/>
      <c r="K68" s="64"/>
      <c r="L68" s="64"/>
    </row>
    <row r="69" spans="7:12">
      <c r="G69" s="71"/>
      <c r="H69" s="64"/>
      <c r="I69" s="64"/>
      <c r="J69" s="64"/>
      <c r="K69" s="64"/>
      <c r="L69" s="64"/>
    </row>
    <row r="70" spans="7:12">
      <c r="G70" s="71"/>
      <c r="H70" s="64"/>
      <c r="I70" s="64"/>
      <c r="J70" s="64"/>
      <c r="K70" s="64"/>
      <c r="L70" s="64"/>
    </row>
    <row r="71" spans="7:12">
      <c r="G71" s="71"/>
      <c r="H71" s="64"/>
      <c r="I71" s="64"/>
      <c r="J71" s="64"/>
      <c r="K71" s="64"/>
      <c r="L71" s="64"/>
    </row>
    <row r="72" spans="7:12">
      <c r="G72" s="71"/>
      <c r="H72" s="64"/>
      <c r="I72" s="64"/>
      <c r="J72" s="64"/>
      <c r="K72" s="64"/>
      <c r="L72" s="64"/>
    </row>
    <row r="73" spans="7:12">
      <c r="G73" s="71"/>
      <c r="H73" s="64"/>
      <c r="I73" s="64"/>
      <c r="J73" s="64"/>
      <c r="K73" s="64"/>
      <c r="L73" s="64"/>
    </row>
    <row r="74" spans="7:12">
      <c r="G74" s="71"/>
      <c r="H74" s="64"/>
      <c r="I74" s="64"/>
      <c r="J74" s="64"/>
      <c r="K74" s="64"/>
      <c r="L74" s="64"/>
    </row>
    <row r="75" spans="7:12">
      <c r="G75" s="71"/>
      <c r="H75" s="64"/>
      <c r="I75" s="64"/>
      <c r="J75" s="64"/>
      <c r="K75" s="64"/>
      <c r="L75" s="64"/>
    </row>
    <row r="76" spans="7:12">
      <c r="G76" s="71"/>
      <c r="H76" s="64"/>
      <c r="I76" s="64"/>
      <c r="J76" s="64"/>
      <c r="K76" s="64"/>
      <c r="L76" s="64"/>
    </row>
    <row r="77" spans="7:12">
      <c r="G77" s="71"/>
      <c r="H77" s="64"/>
      <c r="I77" s="64"/>
      <c r="K77" s="64"/>
      <c r="L77" s="64"/>
    </row>
    <row r="78" spans="7:12">
      <c r="G78" s="71"/>
      <c r="H78" s="64"/>
      <c r="I78" s="64"/>
      <c r="K78" s="64"/>
      <c r="L78" s="64"/>
    </row>
    <row r="79" spans="7:12">
      <c r="G79" s="71"/>
      <c r="H79" s="64"/>
      <c r="I79" s="64"/>
      <c r="K79" s="64"/>
      <c r="L79" s="64"/>
    </row>
    <row r="80" spans="7:12">
      <c r="G80" s="71"/>
      <c r="H80" s="64"/>
      <c r="I80" s="64"/>
      <c r="K80" s="64"/>
      <c r="L80" s="64"/>
    </row>
    <row r="81" spans="7:12">
      <c r="G81" s="71"/>
      <c r="H81" s="64"/>
      <c r="I81" s="64"/>
      <c r="K81" s="64"/>
      <c r="L81" s="64"/>
    </row>
    <row r="82" spans="7:12">
      <c r="G82" s="71"/>
      <c r="H82" s="64"/>
      <c r="I82" s="64"/>
      <c r="K82" s="64"/>
      <c r="L82" s="64"/>
    </row>
    <row r="83" spans="7:12">
      <c r="G83" s="71"/>
      <c r="H83" s="64"/>
      <c r="I83" s="64"/>
      <c r="K83" s="64"/>
      <c r="L83" s="64"/>
    </row>
    <row r="84" spans="7:12">
      <c r="G84" s="71"/>
      <c r="H84" s="64"/>
      <c r="I84" s="64"/>
      <c r="K84" s="64"/>
      <c r="L84" s="64"/>
    </row>
    <row r="85" spans="7:12">
      <c r="G85" s="71"/>
      <c r="H85" s="64"/>
      <c r="I85" s="64"/>
      <c r="K85" s="64"/>
      <c r="L85" s="64"/>
    </row>
    <row r="86" spans="7:12">
      <c r="G86" s="71"/>
      <c r="H86" s="64"/>
      <c r="I86" s="64"/>
      <c r="K86" s="64"/>
      <c r="L86" s="64"/>
    </row>
    <row r="87" spans="7:12">
      <c r="G87" s="71"/>
      <c r="H87" s="64"/>
      <c r="I87" s="64"/>
      <c r="K87" s="64"/>
      <c r="L87" s="64"/>
    </row>
    <row r="88" spans="7:12">
      <c r="G88" s="71"/>
      <c r="H88" s="64"/>
      <c r="I88" s="64"/>
      <c r="K88" s="64"/>
      <c r="L88" s="64"/>
    </row>
    <row r="89" spans="7:12">
      <c r="G89" s="71"/>
      <c r="H89" s="64"/>
      <c r="I89" s="64"/>
      <c r="K89" s="64"/>
      <c r="L89" s="64"/>
    </row>
    <row r="90" spans="7:12">
      <c r="G90" s="71"/>
      <c r="H90" s="64"/>
      <c r="K90" s="64"/>
      <c r="L90" s="64"/>
    </row>
    <row r="91" spans="7:12">
      <c r="G91" s="71"/>
      <c r="H91" s="64"/>
      <c r="K91" s="64"/>
      <c r="L91" s="64"/>
    </row>
    <row r="92" spans="7:12">
      <c r="G92" s="71"/>
      <c r="H92" s="64"/>
      <c r="K92" s="64"/>
      <c r="L92" s="64"/>
    </row>
    <row r="93" spans="7:12">
      <c r="G93" s="71"/>
      <c r="H93" s="64"/>
      <c r="K93" s="64"/>
      <c r="L93" s="64"/>
    </row>
    <row r="94" spans="7:12">
      <c r="G94" s="71"/>
      <c r="H94" s="64"/>
      <c r="K94" s="64"/>
      <c r="L94" s="64"/>
    </row>
    <row r="95" spans="7:12">
      <c r="G95" s="71"/>
      <c r="H95" s="64"/>
      <c r="K95" s="64"/>
      <c r="L95" s="64"/>
    </row>
    <row r="96" spans="7:12">
      <c r="G96" s="71"/>
      <c r="H96" s="64"/>
      <c r="K96" s="64"/>
      <c r="L96" s="64"/>
    </row>
    <row r="97" spans="7:12">
      <c r="G97" s="71"/>
      <c r="H97" s="64"/>
      <c r="K97" s="64"/>
      <c r="L97" s="64"/>
    </row>
    <row r="98" spans="7:12">
      <c r="G98" s="71"/>
      <c r="H98" s="64"/>
      <c r="K98" s="64"/>
      <c r="L98" s="64"/>
    </row>
    <row r="99" spans="7:12">
      <c r="G99" s="71"/>
      <c r="H99" s="64"/>
      <c r="K99" s="64"/>
      <c r="L99" s="64"/>
    </row>
    <row r="100" spans="7:12">
      <c r="G100" s="71"/>
      <c r="H100" s="64"/>
      <c r="K100" s="64"/>
      <c r="L100" s="64"/>
    </row>
    <row r="101" spans="7:12">
      <c r="G101" s="71"/>
      <c r="H101" s="64"/>
    </row>
    <row r="102" spans="7:12">
      <c r="G102" s="71"/>
      <c r="H102" s="64"/>
    </row>
    <row r="103" spans="7:12">
      <c r="G103" s="71"/>
      <c r="H103" s="64"/>
    </row>
    <row r="104" spans="7:12">
      <c r="G104" s="71"/>
    </row>
    <row r="105" spans="7:12">
      <c r="G105" s="71"/>
    </row>
    <row r="106" spans="7:12">
      <c r="G106" s="71"/>
    </row>
    <row r="107" spans="7:12">
      <c r="G107" s="71"/>
    </row>
    <row r="108" spans="7:12">
      <c r="G108" s="71"/>
    </row>
    <row r="109" spans="7:12">
      <c r="G109" s="71"/>
    </row>
    <row r="110" spans="7:12">
      <c r="G110" s="71"/>
    </row>
  </sheetData>
  <mergeCells count="124">
    <mergeCell ref="A1:O1"/>
    <mergeCell ref="M2:N2"/>
    <mergeCell ref="B3:B4"/>
    <mergeCell ref="C3:C4"/>
    <mergeCell ref="D3:D4"/>
    <mergeCell ref="E3:E4"/>
    <mergeCell ref="F3:F4"/>
    <mergeCell ref="G3:G4"/>
    <mergeCell ref="H3:H4"/>
    <mergeCell ref="J7:K7"/>
    <mergeCell ref="L7:M7"/>
    <mergeCell ref="J8:M8"/>
    <mergeCell ref="N8:O8"/>
    <mergeCell ref="J9:K9"/>
    <mergeCell ref="L9:M9"/>
    <mergeCell ref="I3:I4"/>
    <mergeCell ref="J3:O4"/>
    <mergeCell ref="J5:M5"/>
    <mergeCell ref="N5:O5"/>
    <mergeCell ref="J6:K6"/>
    <mergeCell ref="L6:M6"/>
    <mergeCell ref="J13:K13"/>
    <mergeCell ref="L13:M13"/>
    <mergeCell ref="J14:O14"/>
    <mergeCell ref="J15:K15"/>
    <mergeCell ref="L15:M15"/>
    <mergeCell ref="J16:K16"/>
    <mergeCell ref="L16:M16"/>
    <mergeCell ref="J10:K10"/>
    <mergeCell ref="L10:M10"/>
    <mergeCell ref="J11:M11"/>
    <mergeCell ref="N11:O11"/>
    <mergeCell ref="J12:K12"/>
    <mergeCell ref="L12:M12"/>
    <mergeCell ref="B17:G18"/>
    <mergeCell ref="J17:O17"/>
    <mergeCell ref="J18:K18"/>
    <mergeCell ref="L18:M18"/>
    <mergeCell ref="B19:G20"/>
    <mergeCell ref="H19:H20"/>
    <mergeCell ref="I19:I20"/>
    <mergeCell ref="J19:K19"/>
    <mergeCell ref="L19:M19"/>
    <mergeCell ref="J20:M20"/>
    <mergeCell ref="N20:O20"/>
    <mergeCell ref="B21:G22"/>
    <mergeCell ref="H21:H22"/>
    <mergeCell ref="I21:I22"/>
    <mergeCell ref="J21:K21"/>
    <mergeCell ref="L21:M21"/>
    <mergeCell ref="J22:K22"/>
    <mergeCell ref="L22:M22"/>
    <mergeCell ref="B25:G26"/>
    <mergeCell ref="H25:H26"/>
    <mergeCell ref="I25:I26"/>
    <mergeCell ref="J25:K25"/>
    <mergeCell ref="L25:M25"/>
    <mergeCell ref="J26:O26"/>
    <mergeCell ref="B23:G24"/>
    <mergeCell ref="H23:H24"/>
    <mergeCell ref="I23:I24"/>
    <mergeCell ref="J23:M23"/>
    <mergeCell ref="N23:O23"/>
    <mergeCell ref="J24:K24"/>
    <mergeCell ref="L24:M24"/>
    <mergeCell ref="B29:G30"/>
    <mergeCell ref="H29:H30"/>
    <mergeCell ref="I29:I30"/>
    <mergeCell ref="J29:O29"/>
    <mergeCell ref="J30:K30"/>
    <mergeCell ref="L30:O30"/>
    <mergeCell ref="B27:G28"/>
    <mergeCell ref="H27:H28"/>
    <mergeCell ref="I27:I28"/>
    <mergeCell ref="J27:K27"/>
    <mergeCell ref="L27:M27"/>
    <mergeCell ref="J28:K28"/>
    <mergeCell ref="L28:M28"/>
    <mergeCell ref="B33:G34"/>
    <mergeCell ref="H33:H34"/>
    <mergeCell ref="I33:I34"/>
    <mergeCell ref="J33:K33"/>
    <mergeCell ref="L33:M33"/>
    <mergeCell ref="J34:K34"/>
    <mergeCell ref="L34:M34"/>
    <mergeCell ref="B31:G32"/>
    <mergeCell ref="H31:H32"/>
    <mergeCell ref="I31:I32"/>
    <mergeCell ref="J31:K31"/>
    <mergeCell ref="L31:O31"/>
    <mergeCell ref="J32:O32"/>
    <mergeCell ref="B35:I36"/>
    <mergeCell ref="J35:M35"/>
    <mergeCell ref="N35:O35"/>
    <mergeCell ref="J36:K36"/>
    <mergeCell ref="B37:I38"/>
    <mergeCell ref="J37:K37"/>
    <mergeCell ref="J38:K38"/>
    <mergeCell ref="B39:I40"/>
    <mergeCell ref="J39:K39"/>
    <mergeCell ref="A48:I48"/>
    <mergeCell ref="A3:A14"/>
    <mergeCell ref="A15:A34"/>
    <mergeCell ref="B15:G16"/>
    <mergeCell ref="H17:H18"/>
    <mergeCell ref="I17:I18"/>
    <mergeCell ref="L43:M43"/>
    <mergeCell ref="J44:M44"/>
    <mergeCell ref="N44:O44"/>
    <mergeCell ref="J45:K45"/>
    <mergeCell ref="L45:M45"/>
    <mergeCell ref="J46:K46"/>
    <mergeCell ref="L46:M46"/>
    <mergeCell ref="L39:M39"/>
    <mergeCell ref="J40:K40"/>
    <mergeCell ref="L40:M40"/>
    <mergeCell ref="B41:I41"/>
    <mergeCell ref="J41:O41"/>
    <mergeCell ref="A42:A46"/>
    <mergeCell ref="B42:I46"/>
    <mergeCell ref="J42:K42"/>
    <mergeCell ref="L42:M42"/>
    <mergeCell ref="J43:K43"/>
    <mergeCell ref="A35:A41"/>
  </mergeCells>
  <pageMargins left="0.7" right="0.7" top="0.75" bottom="0.75" header="0.3" footer="0.3"/>
  <pageSetup paperSize="9" scale="2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22</vt:i4>
      </vt:variant>
    </vt:vector>
  </HeadingPairs>
  <TitlesOfParts>
    <vt:vector size="22" baseType="lpstr">
      <vt:lpstr>01-05-26</vt:lpstr>
      <vt:lpstr>02-05-26</vt:lpstr>
      <vt:lpstr>03-05-26</vt:lpstr>
      <vt:lpstr>04-05-26</vt:lpstr>
      <vt:lpstr>05-05-26</vt:lpstr>
      <vt:lpstr>06-05-26</vt:lpstr>
      <vt:lpstr>07-05-26</vt:lpstr>
      <vt:lpstr>08-05-26</vt:lpstr>
      <vt:lpstr>09-05-26</vt:lpstr>
      <vt:lpstr>10-05-26 </vt:lpstr>
      <vt:lpstr>11-05-26</vt:lpstr>
      <vt:lpstr>12-05-26 </vt:lpstr>
      <vt:lpstr>13-05-26</vt:lpstr>
      <vt:lpstr>14-05-26</vt:lpstr>
      <vt:lpstr>15-05-26</vt:lpstr>
      <vt:lpstr>16-05-26</vt:lpstr>
      <vt:lpstr>17-05-26</vt:lpstr>
      <vt:lpstr>18-05-26</vt:lpstr>
      <vt:lpstr>19-05-26</vt:lpstr>
      <vt:lpstr>20-05-26</vt:lpstr>
      <vt:lpstr>21-05-26</vt:lpstr>
      <vt:lpstr>22-05-26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GiUser3</dc:creator>
  <cp:lastModifiedBy>GiUser3</cp:lastModifiedBy>
  <cp:lastPrinted>2026-05-22T23:12:20Z</cp:lastPrinted>
  <dcterms:created xsi:type="dcterms:W3CDTF">2026-05-01T16:53:06Z</dcterms:created>
  <dcterms:modified xsi:type="dcterms:W3CDTF">2026-06-02T09:35:17Z</dcterms:modified>
</cp:coreProperties>
</file>